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lah/code/phish108/empxl/"/>
    </mc:Choice>
  </mc:AlternateContent>
  <xr:revisionPtr revIDLastSave="0" documentId="8_{EDB0C027-893B-E24F-ADA4-2A8C44A7A238}" xr6:coauthVersionLast="47" xr6:coauthVersionMax="47" xr10:uidLastSave="{00000000-0000-0000-0000-000000000000}"/>
  <bookViews>
    <workbookView xWindow="0" yWindow="780" windowWidth="36000" windowHeight="22600" xr2:uid="{485B2935-2AC4-CF45-85A3-1B3575BC80C2}"/>
  </bookViews>
  <sheets>
    <sheet name="iris" sheetId="4" r:id="rId1"/>
    <sheet name="Tabelle1" sheetId="3" r:id="rId2"/>
  </sheets>
  <definedNames>
    <definedName name="AB.TEST">T.TEST.S</definedName>
    <definedName name="ANOVA.TEST">_xlfn.LAMBDA(_xlpm.values,_xlpm.groups,_xlop.headers, _xlfn.LET(_xlpm.n_j, GROUP.COUNT(_xlpm.groups), _xlpm.group_k, COUNT(_xlpm.n_j), _xlpm.N_all, COUNT(_xlpm.values), _xlpm.df_1, _xlpm.group_k - 1, _xlpm.df_2, _xlpm.N_all - _xlpm.group_k, _xlpm.mu_all, AVERAGE(_xlpm.values), _xlpm.mu_j, GROUP.MEAN(_xlpm.values, _xlpm.groups), _xlpm.m_groups, 1 * (_xlpm.groups = TRANSPOSE(GROUP.LABELS(_xlpm.groups))), _xlpm.t_SSB, SUM(_xlpm.n_j * (_xlpm.mu_j - _xlpm.mu_all) ^ 2), _xlpm.t_SSE, SUM((_xlpm.m_groups * _xlpm.values - _xlpm.m_groups * TRANSPOSE(_xlpm.mu_j)) ^ 2), _xlpm.F_value, (_xlpm.t_SSB / _xlpm.df_1) / (_xlpm.t_SSE / _xlpm.df_2), _xlpm.p_value, _xlfn.F.DIST.RT(_xlpm.F_value, _xlpm.df_1, _xlpm.df_2), _xlpm.results, _xlfn.HSTACK(_xlpm.F_value, _xlpm.df_1, _xlpm.df_2, _xlpm.p_value), IF(OR(_xlfn.ISOMITTED(_xlpm.headers), NOT(_xlpm.headers)), _xlpm.results, _xlfn.VSTACK(_xlfn.HSTACK("F", "df_1", "df_2", "p"), _xlpm.results))))</definedName>
    <definedName name="CALC.PV.DIR.SHAPIRO">_xlfn.LAMBDA(_xlpm.w_v,_xlpm.n_v, _xlfn.LET(_xlpm.y_v, LOG(1 - _xlpm.w_v), _xlpm.x_x, LOG(_xlpm.n_v), _xlpm.c_5, {0.0038915;-0.083751;-0.31082;-1.5861}, _xlpm.c_6, {0.0030302;-0.082676;-0.4803}, _xlpm.m_w, POLYVAL.2P(_xlpm.c_5, _xlpm.n_v), _xlpm.s_w, EXP(POLYVAL.2P(_xlpm.c_6, _xlpm.n_v)), _xlfn.NORM.INV(_xlpm.y_v, _xlpm.m_w, _xlpm.s_w)))</definedName>
    <definedName name="CALC.PV.GAMMA.SHAPIRO">_xlfn.LAMBDA(_xlpm.w_v,_xlpm.n_v, _xlfn.LET(_xlpm.y_1, LOG(1 - _xlpm.w_v), _xlpm.x_x, LOG(_xlpm.n_v), _xlpm.c_g, {0.459;-2.273}, _xlpm.c_3, {-0.0006714;0.025054;-0.39978;0.544}, _xlpm.c_4, {-0.0020322;0.062767;-0.77857;1.3822}, _xlpm.gamma, POLYVAL.2P(_xlpm.c_g, _xlpm.n_v), _xlpm.m_w, POLYVAL.2P(_xlpm.c_3, _xlpm.n_v), _xlpm.s_w, EXP(POLYVAL.2P(_xlpm.c_4, _xlpm.n_v)), _xlpm.y_v, -1 * LOG(_xlpm.gamma - _xlpm.y_1), IF(_xlpm.y_1 &gt;= _xlpm.gamma, 1E-99, _xlfn.NORM.INV(_xlpm.y_v, _xlpm.m_w, _xlpm.s_w))))</definedName>
    <definedName name="CALC.PV.SHAPIRO">_xlfn.LAMBDA(_xlpm.w_v,_xlpm.n_v, _xlfn.IFS(_xlpm.n_v = 3, 6 / PI() * (ASIN(SQRT(_xlpm.w_v)) - ASIN(SQRT(0.75))), _xlpm.n_v &lt;= 11, CALC.PV.GAMMA.SHAPIRO(_xlpm.w_v, _xlpm.n_v), TRUE, CALC.PV.DIR.SHAPIRO(_xlpm.w_v, _xlpm.n_v)))</definedName>
    <definedName name="CHIQU.TEST.S">_xlfn.LAMBDA(_xlpm.x_i,_xlpm.y_i,_xlop.header, _xlfn.LET(_xlpm.n_ij, STAT.TABLE(_xlpm.x_i, _xlpm.y_i), IF(_xlfn.ISOMITTED(_xlpm.header), CHIQU.TEST.X(_xlpm.n_ij, FALSE), CHIQU.TEST.X(_xlpm.n_ij, _xlpm.header))))</definedName>
    <definedName name="CHIQU.TEST.X">_xlfn.LAMBDA(_xlpm.n_ij,_xlop.header, _xlfn.LET(_xlpm.n_i, ROWSUM(_xlpm.n_ij), _xlpm.n_j, COLSUM(_xlpm.n_ij), _xlpm.n, SUM(_xlpm.n_j), _xlpm.EW, _xlpm.n_i * _xlpm.n_j / _xlpm.n, _xlpm.v_xi2, SUM((_xlpm.n_ij - _xlpm.EW) ^ 2 / _xlpm.EW), _xlpm.df, MAX(COUNT(_xlpm.n_i), COUNT(_xlpm.n_j)) - 1, _xlpm.results, _xlfn.HSTACK(_xlfn.CHISQ.DIST.RT(_xlpm.v_xi2, _xlpm.df), _xlpm.df), IF(OR(_xlfn.ISOMITTED(_xlpm.header), NOT(_xlpm.header)), _xlpm.results, _xlfn.VSTACK(CHIQU.TEST2.HEADER(), _xlpm.results))))</definedName>
    <definedName name="CHIQU.TEST2">CHIQU.TEST.S</definedName>
    <definedName name="CHIQU.TEST2.HEADER">_xlfn.LAMBDA(_xlfn.HSTACK("p", "df"))</definedName>
    <definedName name="COLSUM">_xlfn.LAMBDA(_xlpm.matrix, _xlfn.BYCOL(_xlpm.matrix, _xleta.SUM))</definedName>
    <definedName name="CORR.CRAMER">_xlfn.LAMBDA(_xlpm.x_i,_xlpm.y_i, _xlfn.LET(_xlpm.n_i, STAT.TABLE(_xlpm.x_i), _xlpm.n_j, STAT.TABLE(_xlpm.y_i), _xlpm.div, MIN(COUNT(_xlpm.n_i), COUNT(_xlpm.n_j)), _xlpm.n, SUM(_xlpm.n_j), _xlpm.x_base, _xlpm.n_i * TRANSPOSE(_xlpm.n_j) / _xlpm.n, _xlpm.n_ij, STAT.TABLE(_xlpm.x_i, _xlpm.y_i), SQRT((SUM((_xlpm.n_ij - _xlpm.x_base) ^ 2 / _xlpm.x_base)) / (_xlpm.n * (_xlpm.div - 1)))))</definedName>
    <definedName name="CORR.CRAMER.TEST">_xlfn.LAMBDA(_xlpm.x_i,_xlpm.y_i,_xlop.headers, _xlfn.LET(_xlpm.headers, OR(_xlfn.ISOMITTED(_xlpm.headers), NOT(_xlpm.headers)), _xlpm.r_value, CORR.CRAMER(_xlpm.x_i, _xlpm.y_i), _xlpm.p_value, CHIQU.TEST.S(_xlpm.x_i, _xlpm.y_i), _xlpm.results, _xlfn.HSTACK(_xlpm.r_value, _xlpm.p_value), IF(_xlpm.headers, _xlpm.results, _xlfn.VSTACK(_xlfn.HSTACK("V", "p"), _xlpm.results))))</definedName>
    <definedName name="CORR.KENDAL">_xlfn.LAMBDA(_xlpm.x_i,_xlpm.y_i, _xlfn.LET(_xlpm.s_n, COUNT(_xlpm.x_i), _xlpm.x_j, TRANSPOSE(_xlpm.x_i), _xlpm.y_j, TRANSPOSE(_xlpm.y_i), _xlpm.triangle, MTRIANGLE(_xlpm.s_n, TRUE, TRUE), _xlpm.tr_sign, STAT.SIGN(_xlpm.x_i - _xlpm.x_j) * STAT.SIGN(_xlpm.y_i - _xlpm.y_j) * _xlpm.triangle, _xlpm.n_c, SUM(1 * (_xlpm.tr_sign &gt; 0)), _xlpm.n_d, SUM(1 * (_xlpm.tr_sign &lt; 0)), _xlpm.m_k, MIN(COUNT(_xlfn.UNIQUE(_xlpm.x_i)), COUNT(_xlfn.UNIQUE(_xlpm.y_i))), IF(_xlpm.s_n = COUNT(_xlpm.y_i), (_xlpm.n_c - _xlpm.n_d) * 2 / (_xlpm.s_n ^ 2 * ((_xlpm.m_k - 1) / _xlpm.m_k)), #VALUE!)))</definedName>
    <definedName name="CORR.KENDAL.TEST">_xlfn.LAMBDA(_xlpm.x_i,_xlpm.y_i, _xlfn.LET(_xlpm.s_n, COUNT(_xlpm.x_i), _xlpm.x_j, TRANSPOSE(_xlpm.x_i), _xlpm.y_j, TRANSPOSE(_xlpm.y_i), _xlpm.triangle, MTRIANGLE(_xlpm.s_n, TRUE, TRUE), _xlpm.tr_sign, STAT.SIGN(_xlpm.x_i - _xlpm.x_j) * STAT.SIGN(_xlpm.y_i - _xlpm.y_j) * _xlpm.triangle, _xlpm.n_c, SUM(1 * (_xlpm.tr_sign &gt; 0)), _xlpm.n_d, SUM(1 * (_xlpm.tr_sign &lt; 0)), _xlpm.m_k, MIN(COUNT(_xlfn.UNIQUE(_xlpm.x_i)), COUNT(_xlfn.UNIQUE(_xlpm.y_i))), _xlpm.r_tau, (_xlpm.n_c - _xlpm.n_d) * 2 / (_xlpm.s_n ^ 2 * ((_xlpm.m_k - 1) / _xlpm.m_k)), _xlpm.v_0, _xlpm.s_n * (_xlpm.s_n - 1) * (2 * _xlpm.s_n + 5), _xlpm.t_rank, _xlfn.RANK.AVG(_xlpm.x_i, _xlpm.x_i), _xlpm.u_rank, _xlfn.RANK.AVG(_xlpm.y_i, _xlpm.y_i), _xlpm.t_i, GRUPPEN.ANZAHL(_xlpm.t_rank), _xlpm.u_i, GRUPPEN.ANZAHL(_xlpm.u_rank), _xlpm.v_t, SUM(_xlpm.t_i * (_xlpm.t_i - 1) * (2 * _xlpm.t_i + 5)), _xlpm.v_u, SUM(_xlpm.u_i * (_xlpm.u_i - 1) * (2 * _xlpm.u_i + 5)), _xlpm.v_1, SUM(_xlpm.t_i * (_xlpm.t_i - 1)) * SUM(_xlpm.u_i * (_xlpm.u_i - 1)) / (2 * _xlpm.s_n * (_xlpm.s_n - 1)), _xlpm.v_2, SUM(_xlpm.t_i * (_xlpm.t_i - 1) * (_xlpm.t_i - 2)) * SUM(_xlpm.u_i * (_xlpm.u_i - 1) * (_xlpm.u_i - 2)) / (9 * _xlpm.s_n * (_xlpm.s_n - 1) * (_xlpm.s_n - 2)), _xlpm.v_all, 1 / 18 * _xlpm.v_0 - (_xlpm.v_t + _xlpm.v_u) / 18 + _xlpm.v_1 + _xlpm.v_2, _xlpm.z_b, (_xlpm.n_c - _xlpm.n_d) / SQRT(_xlpm.v_all), _xlpm.p_v, _xlfn.NORM.DIST(_xlpm.z_b, 0, 1, TRUE), _xlpm.p_value, 2 * IF(_xlpm.p_v &gt; 0.5, 1 - _xlpm.p_v, _xlpm.p_v), _xlfn.VSTACK(_xlfn.HSTACK("tau", "z", "p"), _xlfn.HSTACK(_xlpm.r_tau, _xlpm.z_b, _xlpm.p_value))))</definedName>
    <definedName name="CORR.PEARSON">_xlfn.LAMBDA(_xlpm.x_i,_xlpm.y_i, CORREL(_xlpm.x_i, _xlpm.y_i))</definedName>
    <definedName name="CORR.PEARSON.TEST">_xlfn.LAMBDA(_xlpm.x_i,_xlpm.y_i,_xlop.headers, _xlfn.LET(_xlpm.c_pearson, CORREL(_xlpm.x_i, _xlpm.y_i), _xlpm.t_value, _xlpm.c_pearson * SQRT(COUNT(_xlpm.x_i) - 2) / SQRT(1 - _xlpm.c_pearson ^ 2), _xlpm.p_value, _xlfn.T.DIST.2T(_xlpm.t_value, COUNT(_xlpm.x_i) - 2), _xlpm.results, _xlfn.HSTACK(_xlpm.c_pearson, _xlpm.t_value, _xlpm.p_value), IF(OR(_xlfn.ISOMITTED(_xlpm.headers), NOT(_xlpm.headers)), _xlpm.results, _xlfn.VSTACK(_xlfn.HSTACK("r", "t", "p"), _xlpm.results))))</definedName>
    <definedName name="CORR.SPEARMAN">_xlfn.LAMBDA(_xlpm.left,_xlpm.right, CORREL(_xlfn.RANK.AVG(_xlpm.left, _xlpm.left), _xlfn.RANK.AVG(_xlpm.right, _xlpm.right)))</definedName>
    <definedName name="CUMSUM">_xlfn.LAMBDA(_xlpm.vector, _xlfn.SCAN(0, _xlpm.vector, _xlfn.LAMBDA(_xlpm.accu,_xlpm.value, _xlpm.accu + _xlpm.value)))</definedName>
    <definedName name="DUMMY.CODING">_xlfn.LAMBDA(_xlpm.variable,_xlop.header, _xlfn.LET(_xlpm.variable, _xlfn._xlws.FILTER(_xlpm.variable, NOT(ISERROR(_xlpm.variable))), _xlpm.k_names, TRANSPOSE(_xlfn.UNIQUE(_xlpm.variable)), _xlpm.k_ref, _xlfn.CHOOSECOLS(_xlpm.k_names, _xlfn.SEQUENCE(1, COUNTA(_xlpm.k_names) - 1)), _xlpm.codes, 1 * (_xlpm.variable = _xlpm.k_ref), IF(OR(_xlfn.ISOMITTED(_xlpm.header), NOT(_xlpm.header)), _xlpm.codes, _xlfn.VSTACK(_xlpm.k_ref, _xlpm.codes))))</definedName>
    <definedName name="DUNN.TEST">_xlfn.LAMBDA(_xlpm.values,_xlpm.groups,_xlop.adjustment, _xlfn.LET(_xlpm.ranks, _xlfn.RANK.AVG(_xlpm.values, _xlpm.values), _xlpm.n_all, COUNT(_xlpm.values), _xlpm.n_i, GROUP.COUNT(_xlpm.groups), _xlpm.group_i, _xlfn.UNIQUE(_xlpm.groups), _xlpm.ranksum_i, COLSUM(_xlpm.ranks * (_xlpm.groups = TRANSPOSE(_xlpm.group_i))) / TRANSPOSE(_xlpm.n_i), _xlpm.sigma_correction, _xlpm.n_all * (_xlpm.n_all + 1) / 12, _xlpm.bind_count, GROUP.COUNT(_xlpm.ranks), _xlpm.bind_correction, SUM(_xlpm.bind_count ^ 3 - _xlpm.bind_count) / (12 * (_xlpm.n_all - 1)), _xlpm.mat_triang, MTRIANGLE(COUNT(_xlpm.n_i), FALSE, TRUE), _xlpm.mat_W1, _xlpm.mat_triang * TRANSPOSE(_xlpm.ranksum_i), _xlpm.mat_W2, _xlpm.mat_triang * _xlpm.ranksum_i, _xlpm.mat_n1, _xlpm.mat_triang * TRANSPOSE(1 / _xlpm.n_i), _xlpm.mat_n2, _xlpm.mat_triang * 1 / _xlpm.n_i, _xlpm.sigma, SQRT((_xlpm.sigma_correction - _xlpm.bind_correction) * (_xlpm.mat_n1 + _xlpm.mat_n2)), _xlpm.delta_RS, _xlpm.mat_W1 - _xlpm.mat_W2, _xlpm.z_value, _xlpm.delta_RS / _xlpm.sigma, _xlpm.g_nbr, _xlfn.SEQUENCE(COUNT(_xlpm.n_i)), _xlpm.z_id_raw, _xlfn.TOCOL(_xlpm.g_nbr * _xlpm.mat_triang), _xlpm.s_id_raw, _xlfn.TOCOL(TRANSPOSE(_xlpm.g_nbr) * _xlpm.mat_triang), _xlpm.z_id, _xlfn._xlws.FILTER(_xlpm.z_id_raw, _xlpm.z_id_raw), _xlpm.s_id, _xlfn._xlws.FILTER(_xlpm.s_id_raw, _xlpm.s_id_raw), _xlpm.z_final, INDEX(_xlpm.z_value, _xlpm.z_id, _xlpm.s_id), _xlpm.m_pairs, SUM(_xlfn.SEQUENCE(COUNT(_xlpm.n_i), 1, 0)), _xlpm.p_value_raw, _xlfn.NORM.S.DIST(IF(_xlpm.z_final &gt; 0, -1 * _xlpm.z_final, _xlpm.z_final), TRUE), _xlpm.p_value, _xlfn.IFS(OR(_xlfn.ISOMITTED(_xlpm.adjustment), LOWER(_xlpm.adjustment) = "holm"), P.ADJ.HOLM(_xlpm.p_value_raw, _xlpm.m_pairs), LOWER(_xlpm.adjustment) = "bonferroni", P.ADJ.BONFERRONI(_xlpm.p_value_raw, _xlpm.m_pairs), LOWER(_xlpm.adjustment) = "hochberg", P.ADJ.HOCHBERG(_xlpm.p_value_raw, _xlpm.m_pairs), LOWER(_xlpm.adjustment) = "sidak", P.ADJ.SIDAK(_xlpm.p_value_raw, _xlpm.m_pairs), LOWER(_xlpm.adjustment) = "holmsidak", P.ADJ.HOLM_SIDAK(_xlpm.p_value_raw, _xlpm.m_pairs), LOWER(_xlpm.adjustment) = "holm-sidak", P.ADJ.HOLM_SIDAK(_xlpm.p_value_raw, _xlpm.m_pairs), LOWER(_xlpm.adjustment) = "holm_sidak", P.ADJ.HOLM_SIDAK(_xlpm.p_value_raw, _xlpm.m_pairs), TRUE, _xlpm.p_value_raw), _xlfn.VSTACK(_xlfn.HSTACK("A", "B", "Statistik", "p"), _xlfn.HSTACK(_xlfn.CHOOSEROWS(_xlpm.group_i, _xlpm.z_id), _xlfn.CHOOSEROWS(_xlpm.group_i, _xlpm.s_id), _xlpm.z_final, IF(_xlpm.p_value &gt; 1, 1, _xlpm.p_value)))))</definedName>
    <definedName name="ENTFERNE.FEHLER">REMOVE.INVALID</definedName>
    <definedName name="ExterneDaten_1" localSheetId="0" hidden="1">iris!$A$1:$E$151</definedName>
    <definedName name="F.TEST.S">_xlfn.LAMBDA(_xlpm.a_v,_xlpm.u_v,_xlop.headers, _xlfn.LET(_xlpm.l_uv, _xlfn.TOCOL(_xlfn.UNIQUE(_xlpm.u_v)), _xlpm.result, IF(COUNTA(_xlpm.l_uv) = 2, _xlfn.F.TEST(_xlfn._xlws.FILTER(_xlpm.a_v, _xlpm.u_v = INDEX(_xlpm.u_v, 1, 1)), _xlfn._xlws.FILTER(_xlpm.a_v, _xlpm.u_v = INDEX(_xlpm.u_v, 2, 1))), #VALUE!), IF(OR(_xlfn.ISOMITTED(_xlpm.headers), NOT(_xlpm.headers)), _xlpm.result, _xlfn.VSTACK("p", _xlpm.result))))</definedName>
    <definedName name="GROUP.COUNT">_xlfn.LAMBDA(_xlpm.groups, _xlfn.CHOOSECOLS(_xlfn.GROUPBY(_xlpm.groups, _xlpm.groups, _xleta.COUNTA, , 0), 2))</definedName>
    <definedName name="GROUP.IQR">_xlfn.LAMBDA(_xlpm.values,_xlpm.groups, _xlfn.CHOOSECOLS(_xlfn.GROUPBY(_xlpm.groups, _xlpm.values, STAT.IQR, , 0), 2))</definedName>
    <definedName name="GROUP.LABELS">_xlfn.LAMBDA(_xlpm.groups, _xlfn.CHOOSECOLS(_xlfn.GROUPBY(_xlpm.groups, _xlpm.groups, _xleta.COUNTA, , 0), 1))</definedName>
    <definedName name="GROUP.MAD">_xlfn.LAMBDA(_xlpm.values,_xlpm.groups, _xlfn.CHOOSECOLS(_xlfn.GROUPBY(_xlpm.groups, _xlpm.values, STAT.MAD, , 0), 2))</definedName>
    <definedName name="GROUP.MAX">_xlfn.LAMBDA(_xlpm.values,_xlpm.groups, _xlfn.CHOOSECOLS(_xlfn.GROUPBY(_xlpm.groups, _xlpm.values, _xleta.MAX, , 0), 2))</definedName>
    <definedName name="GROUP.MEAN">_xlfn.LAMBDA(_xlpm.values,_xlpm.groups, _xlfn.CHOOSECOLS(_xlfn.GROUPBY(_xlpm.groups, _xlpm.values, _xleta.AVERAGE, , 0), 2))</definedName>
    <definedName name="GROUP.MEDIAN">_xlfn.LAMBDA(_xlpm.values,_xlpm.groups, _xlfn.CHOOSECOLS(_xlfn.GROUPBY(_xlpm.groups, _xlpm.values, _xleta.MEDIAN, , 0), 2))</definedName>
    <definedName name="GROUP.MIN">_xlfn.LAMBDA(_xlpm.values,_xlpm.groups, _xlfn.CHOOSECOLS(_xlfn.GROUPBY(_xlpm.groups, _xlpm.values, _xleta.MIN, , 0), 2))</definedName>
    <definedName name="GROUP.SD">_xlfn.LAMBDA(_xlpm.values,_xlpm.groups, _xlfn.CHOOSECOLS(_xlfn.GROUPBY(_xlpm.groups, _xlpm.values, _xleta.STDEV.S, , 0), 2))</definedName>
    <definedName name="GROUP.SE">_xlfn.LAMBDA(_xlpm.values,_xlpm.groups, _xlfn.CHOOSECOLS(_xlfn.GROUPBY(_xlpm.groups, _xlpm.values, STAT.SE, , 0), 2))</definedName>
    <definedName name="GROUP.SUM">_xlfn.LAMBDA(_xlpm.values,_xlpm.groups, _xlfn.CHOOSECOLS(_xlfn.GROUPBY(_xlpm.groups, _xlpm.values, _xleta.SUM, , 0), 2))</definedName>
    <definedName name="GRUPPEN.ANZAHL">GROUP.COUNT</definedName>
    <definedName name="GRUPPEN.IQA">GROUP.IQR</definedName>
    <definedName name="GRUPPEN.MAD">GROUP.MAD</definedName>
    <definedName name="GRUPPEN.MAX">GROUP.MAX</definedName>
    <definedName name="GRUPPEN.MEDIAN">GROUP.MEDIAN</definedName>
    <definedName name="GRUPPEN.MIN">GROUP.MIN</definedName>
    <definedName name="GRUPPEN.MITTELWERT">GROUP.MEAN</definedName>
    <definedName name="GRUPPEN.N">GROUP.COUNT</definedName>
    <definedName name="GRUPPEN.SD">GROUP.SD</definedName>
    <definedName name="GRUPPEN.SE">GROUP.SE</definedName>
    <definedName name="GRUPPEN.STANDARDFEHLER">GROUP.SE</definedName>
    <definedName name="GRUPPEN.STDABW">GROUP.SD</definedName>
    <definedName name="GRUPPEN.STDFEHLER">GROUP.SE</definedName>
    <definedName name="GRUPPEN.SUMME">GROUP.SUM</definedName>
    <definedName name="HREPEAT">_xlfn.LAMBDA(_xlpm.value,_xlpm.n_times, IF(AND(COUNTA(_xlpm.value) = 1, COUNT(_xlpm.n_times) = 1, _xlpm.n_times &gt; 0), IF(ISNUMBER(_xlpm.value) + ISLOGICAL(_xlpm.value), _xlfn.SEQUENCE(1, _xlpm.n_times, _xlpm.value, 0), IF(_xlfn.SEQUENCE(1, _xlpm.n_times), _xlpm.value)), #VALUE!))</definedName>
    <definedName name="HWIEDERHOLEN">HREPEAT</definedName>
    <definedName name="IS.ALL.EQUAL">_xlfn.LAMBDA(_xlpm.vector, AND(_xlpm.vector = INDEX(_xlpm.vector, 1, 1)))</definedName>
    <definedName name="IS.VECTOR">_xlfn.LAMBDA(_xlpm.vector, IFERROR(IS.ALL.EQUAL(_xlfn.MAP(REMOVE.INVALID(_xlpm.vector), _xleta.TYPE)), FALSE))</definedName>
    <definedName name="IST.ALLE.GLEICH">IS.ALL.EQUAL</definedName>
    <definedName name="IST.VEKTOR">IS.VECTOR</definedName>
    <definedName name="KORREL.CRAMER">CORR.CRAMER</definedName>
    <definedName name="KORREL.CRAMER.TEST">CORR.CRAMER.TEST</definedName>
    <definedName name="KORREL.KENDAL">CORR.KENDAL</definedName>
    <definedName name="KORREL.KENDAL.TEST">CORR.KENDAL.TEST</definedName>
    <definedName name="KORREL.PEARSON">CORR.PEARSON</definedName>
    <definedName name="KORREL.PEARSON.TEST">CORR.PEARSON.TEST</definedName>
    <definedName name="KORREL.SPEARMAN">CORR.SPEARMAN</definedName>
    <definedName name="KRUSKAL_WALLIS.TEST">_xlfn.LAMBDA(_xlpm.values,_xlpm.groups,_xlop.headers, _xlfn.LET(_xlpm.n_all, COUNT(_xlpm.values), _xlpm.n_groups, COUNTA(_xlfn.UNIQUE(_xlpm.groups)), _xlpm.d_f, _xlpm.n_groups - 1, _xlpm.n_h, GROUP.COUNT(_xlpm.groups), _xlpm.ranks, _xlfn.RANK.AVG(_xlpm.values, _xlpm.values), _xlpm.b_bindings, COUNT(_xlfn.UNIQUE(_xlpm.ranks)) &lt; _xlpm.n_all, _xlpm.h_correction, -3 * (_xlpm.n_all + 1), _xlpm.h_factor, 12 / (_xlpm.n_groups * (_xlpm.n_groups + 1) - _xlpm.h_correction), _xlpm.m_groups, 1 * (_xlpm.groups = TRANSPOSE(_xlfn.UNIQUE(_xlpm.groups))), _xlpm.H_core, _xlpm.h_factor * SUM(COLSUM(_xlpm.m_groups * _xlpm.ranks) / TRANSPOSE(_xlpm.n_h)), _xlpm.bind_factor, 1 / (_xlpm.n_all ^ 3 - _xlpm.n_all), _xlpm.bind_count, GROUP.COUNT(_xlpm.ranks), _xlpm.bind_correction, 1 - SUM(_xlpm.bind_count ^ 3 - _xlpm.bind_count) * _xlpm.bind_factor, _xlpm.H_value, IF(_xlpm.b_bindings, _xlpm.H_core / _xlpm.bind_correction, _xlpm.H_core), _xlpm.p_value, _xlfn.CHISQ.DIST.RT(_xlpm.H_value, _xlpm.d_f), _xlpm.results, _xlfn.HSTACK(_xlpm.H_value, _xlpm.d_f, _xlpm.p_value), IF(OR(_xlfn.ISOMITTED(_xlpm.headers), NOT(_xlpm.headers)), _xlpm.results, _xlfn.VSTACK(_xlfn.HSTACK("H", "df", "p"), _xlpm.results))))</definedName>
    <definedName name="KRUSKAL.WALLIS.TEST">KRUSKAL_WALLIS.TEST</definedName>
    <definedName name="KUMULATIVESUMME">CUMSUM</definedName>
    <definedName name="LEVENE.TEST">_xlfn.LAMBDA(_xlpm.x_i,_xlpm.y_i,_xlop.headers, _xlfn.LET(_xlpm.m_grp, GROUP.MEDIAN(_xlpm.x_i, _xlpm.y_i), _xlpm.mn_grp, GROUP.MEAN(_xlpm.x_i, _xlpm.y_i), _xlpm.n_grp, GROUP.COUNT(_xlpm.y_i), _xlpm.l_grp, _xlfn.UNIQUE(_xlpm.y_i), _xlpm.resi_grp, (_xlpm.x_i - _xlfn.XLOOKUP(_xlpm.y_i, _xlpm.l_grp, _xlpm.m_grp)) ^ 2, _xlpm.m_all, AVERAGE(_xlpm.x_i), _xlpm.n_all, SUM(_xlpm.n_grp), _xlpm.n_k, COUNTA(_xlpm.l_grp), _xlpm.W_val, (_xlpm.n_all - _xlpm.n_k) / (_xlpm.n_k - 1) * (SUM(_xlpm.n_grp * (_xlpm.mn_grp - _xlpm.m_all) ^ 2) / SUM(_xlpm.resi_grp)), _xlpm.p_val, _xlfn.F.DIST(_xlpm.W_val, _xlpm.n_k - 1, _xlpm.n_all - _xlpm.n_k, TRUE) / 2, _xlpm.results, _xlfn.HSTACK(_xlpm.W_val, _xlpm.n_k - 1, _xlpm.n_all - _xlpm.n_k, _xlpm.p_val), IF(OR(_xlfn.ISOMITTED(_xlpm.headers), NOT(_xlpm.headers)), _xlpm.results, _xlfn.VSTACK(_xlfn.HSTACK("W", "df_1", "df_2", "p"), _xlpm.results))))</definedName>
    <definedName name="MARK.INVALID">_xlfn.LAMBDA(_xlpm.vectors,_xlpm.invalid_values, _xlfn.MAP(_xlpm.vectors, _xlfn.LAMBDA(_xlpm.v_i, IF(IFERROR(_xlfn.XMATCH(_xlpm.v_i, _xlpm.invalid_values, 0), 0), #N/A, _xlpm.v_i))))</definedName>
    <definedName name="MATRIX_TO_LONG">_xlfn.LAMBDA(_xlpm.matrix,_xlop.p_headers,_xlop.p_withnames, _xlfn.LET(_xlpm.p_headers, OR(_xlfn.ISOMITTED(_xlpm.p_headers), _xlpm.p_headers), _xlpm.p_withnames, IF(_xlfn.ISOMITTED(_xlpm.p_withnames), {"name";"value"}, _xlpm.p_withnames), _xlpm.b_headers, AND(COLUMNS(_xlpm.p_headers) = 1, ROWS(_xlpm.p_headers) = 1, _xlpm.p_headers), _xlpm.n_cols, COLUMNS(_xlpm.matrix), _xlpm.n_rows, ROWS(_xlpm.matrix) - _xlpm.b_headers, _xlpm.sel_header, _xlfn.IFS(AND(COUNTA(_xlpm.p_headers) = _xlpm.n_cols, COLUMNS(_xlpm.p_headers) = _xlpm.n_cols), _xlpm.p_headers, COUNTA(_xlpm.p_headers) = _xlpm.n_cols, TRANSPOSE(_xlpm.p_headers), _xlpm.b_headers, _xlfn.CHOOSEROWS(_xlpm.matrix, 1), TRUE, _xlfn.SEQUENCE(1, _xlpm.n_cols)), _xlpm.sel_heading, _xlfn.IFS(AND(COUNTA(_xlpm.p_withnames) = 2, ROWS(_xlpm.p_withnames) = 1), _xlpm.p_withnames, COUNTA(_xlpm.p_withnames) = 2, TRANSPOSE(_xlpm.p_withnames), TRUE, FALSE), _xlpm.values, _xlfn.TOCOL(IF(_xlpm.b_headers, _xlfn.CHOOSEROWS(_xlpm.matrix, _xlfn.SEQUENCE(_xlpm.n_rows, 1, 2)), _xlpm.matrix)), _xlpm.idx_n, MOD(_xlfn.SEQUENCE(_xlpm.n_rows * _xlpm.n_cols, 1, 0), _xlpm.n_cols) + 1, _xlpm.names, INDEX(_xlpm.sel_header, 1, _xlpm.idx_n), _xlpm.result, _xlfn.HSTACK(_xlpm.names, _xlpm.values), IF(COLUMNS(_xlpm.sel_heading) = 1, _xlpm.result, _xlfn.VSTACK(_xlpm.sel_heading, _xlpm.result))))</definedName>
    <definedName name="MATRIX.TO.LONG">MATRIX_TO_LONG</definedName>
    <definedName name="MATRIX.ZU.LANGFORM">_xlfn.LAMBDA(_xlpm.matrix,_xlop.p_namen,_xlop.p_ttl, _xlfn.LET(_xlpm.p_ttl, IF(_xlfn.ISOMITTED(_xlpm.p_ttl), {"Name";"Wert"}, _xlpm.p_ttl), MATRIX_TO_LONG(_xlpm.matrix, _xlpm.p_namen, _xlpm.p_ttl)))</definedName>
    <definedName name="MDIM">_xlfn.LAMBDA(_xlpm.matrix, _xlfn.HSTACK(ROWS(_xlpm.matrix), COLUMNS(_xlpm.matrix)))</definedName>
    <definedName name="MDIMENSION">MDIM</definedName>
    <definedName name="MDREIECK">MTRIANGLE</definedName>
    <definedName name="MSPUR">MTRACE</definedName>
    <definedName name="MTRACE">_xlfn.LAMBDA(_xlpm.matrix, IF(ROWS(_xlpm.matrix) = COLUMNS(_xlpm.matrix), _xlfn.LET(_xlpm.index, _xlfn.SEQUENCE(ROWS(_xlpm.matrix)), SUM(INDEX(_xlpm.matrix, _xlpm.index, _xlpm.index))), #VALUE!))</definedName>
    <definedName name="MTRIANGLE">_xlfn.LAMBDA(_xlpm.size,_xlop.p_lower,_xlop.p_strict, _xlfn.LET(_xlpm.b_lower, OR(_xlfn.ISOMITTED(_xlpm.p_lower), _xlpm.p_lower), _xlpm.b_strict, OR(_xlfn.ISOMITTED(_xlpm.p_strict), NOT(_xlpm.p_strict)), IF(AND(COUNT(_xlpm.size) = 1, COUNTA(_xlpm.b_lower) = 1, COUNTA(_xlpm.b_strict) = 1), _xlfn.LET(_xlpm.vector, _xlfn.SEQUENCE(_xlpm.size), _xlpm.tvector, TRANSPOSE(_xlpm.vector), 1 * _xlfn.IFS(AND(_xlpm.b_lower, _xlpm.b_strict), _xlpm.vector &gt; _xlpm.tvector, _xlpm.b_lower, _xlpm.vector &gt;= _xlpm.tvector, _xlpm.b_strict, _xlpm.vector &lt; _xlpm.tvector, TRUE, _xlpm.vector &lt;= _xlpm.tvector)), #VALUE!)))</definedName>
    <definedName name="ONE.HOT">DUMMY.CODING</definedName>
    <definedName name="ONE.HOT.CODING">DUMMY.CODING</definedName>
    <definedName name="P.ADJ.BONFERRONI">_xlfn.LAMBDA(_xlpm.p_v,_xlpm.m_v, _xlpm.p_v * _xlpm.m_v)</definedName>
    <definedName name="P.ADJ.HOCHBERG">_xlfn.LAMBDA(_xlpm.p_v,_xlpm.m_v, _xlfn.LET(_xlpm.p_s, _xlfn._xlws.SORT(_xlpm.p_v), _xlpm.id_v, _xlfn.SEQUENCE(COUNT(_xlpm.p_v)), _xlpm.id_s, _xlfn.SORTBY(_xlpm.id_v, _xlpm.p_v), _xlpm.p_star, _xlpm.p_s * _xlpm.m_v / (_xlpm.m_v + 1 - _xlpm.id_v), _xlfn.SORTBY(_xlpm.p_star, _xlpm.id_s)))</definedName>
    <definedName name="P.ADJ.HOLM">_xlfn.LAMBDA(_xlpm.p_v,_xlpm.m_v, _xlfn.LET(_xlpm.p_s, _xlfn._xlws.SORT(_xlpm.p_v), _xlpm.id_v, _xlfn.SEQUENCE(COUNT(_xlpm.p_v)), _xlpm.id_s, _xlfn.SORTBY(_xlpm.id_v, _xlpm.p_v), _xlpm.p_star, _xlpm.p_s * (_xlpm.m_v + 1 - _xlpm.id_v), _xlfn.SORTBY(_xlpm.p_star, _xlpm.id_s)))</definedName>
    <definedName name="P.ADJ.HOLM_SIDAK">_xlfn.LAMBDA(_xlpm.p_v,_xlpm.m_v, _xlfn.LET(_xlpm.p_s, _xlfn._xlws.SORT(_xlpm.p_v), _xlpm.id_v, _xlfn.SEQUENCE(COUNT(_xlpm.p_v)), _xlpm.id_s, _xlfn.SORTBY(_xlpm.id_v, _xlpm.p_v), _xlpm.p_star, 1 - (1 - _xlpm.p_s) ^ (_xlpm.m_v + 1 - _xlpm.id_v), _xlfn.SORTBY(_xlpm.p_star, _xlpm.id_s)))</definedName>
    <definedName name="P.ADJ.SIDAK">_xlfn.LAMBDA(_xlpm.p_v,_xlpm.m_v, 1 - (1 - _xlpm.p_v) ^ _xlpm.m_v)</definedName>
    <definedName name="PAARWEISER.AB.TEST">PAIRWISE.T.TEST</definedName>
    <definedName name="PAARWEISER.T.TEST">PAIRWISE.T.TEST</definedName>
    <definedName name="PAIRWISE.F.TEST">_xlfn.LAMBDA(_xlpm.values,_xlpm.groups,_xlop.adjustment, _xlfn.LET(_xlpm.n_all, COUNT(_xlpm.values), _xlpm.group_names, _xlfn.UNIQUE(_xlpm.groups), _xlpm.k_all, COUNTA(_xlpm.group_names), _xlpm.m_triang, MTRIANGLE(_xlpm.k_all, , 1), _xlpm.group_id, _xlfn.SEQUENCE(_xlpm.k_all), _xlpm.grp_1, _xlfn.TOCOL(_xlpm.m_triang * _xlpm.group_id), _xlpm.grp_2, _xlfn.TOCOL(_xlpm.m_triang * TRANSPOSE(_xlpm.group_id)), _xlpm.g1_id, _xlfn._xlws.FILTER(_xlpm.grp_1, _xlpm.grp_1), _xlpm.g2_id, _xlfn._xlws.FILTER(_xlpm.grp_2, _xlpm.grp_2), _xlpm.g1_names, INDEX(_xlpm.group_names, _xlpm.g1_id), _xlpm.g2_names, INDEX(_xlpm.group_names, _xlpm.g2_id), _xlpm.p_values, _xlfn.MAP(_xlpm.g1_names, _xlpm.g2_names, _xlfn.LAMBDA(_xlpm.a_v,_xlpm.b_v, _xlfn.F.TEST(_xlfn._xlws.FILTER(_xlpm.values, _xlpm.groups = _xlpm.a_v), _xlfn._xlws.FILTER(_xlpm.values, _xlpm.groups = _xlpm.b_v)))), _xlpm.p_value_raw, IF(_xlpm.p_values &gt; 0.5, 1 - _xlpm.p_values, _xlpm.p_values), _xlpm.p_star, 2 * _xlfn.IFS(_xlfn.ISOMITTED(_xlpm.adjustment), P.ADJ.BONFERRONI(_xlpm.p_value_raw, _xlpm.k_all), LOWER(_xlpm.adjustment) = "holm", P.ADJ.HOLM(_xlpm.p_value_raw, _xlpm.k_all), LOWER(_xlpm.adjustment) = "bonferroni", P.ADJ.BONFERRONI(_xlpm.p_value_raw, _xlpm.k_all), LOWER(_xlpm.adjustment) = "hochberg", P.ADJ.HOCHBERG(_xlpm.p_value_raw, _xlpm.k_all), LOWER(_xlpm.adjustment) = "sidak", P.ADJ.SIDAK(_xlpm.p_value_raw, _xlpm.k_all), LOWER(_xlpm.adjustment) = "holmsidak", P.ADJ.HOLM_SIDAK(_xlpm.p_value_raw, _xlpm.k_all), LOWER(_xlpm.adjustment) = "holm-sidak", P.ADJ.HOLM_SIDAK(_xlpm.p_value_raw, _xlpm.k_all), LOWER(_xlpm.adjustment) = "holm_sidak", P.ADJ.HOLM_SIDAK(_xlpm.p_value_raw, _xlpm.k_all), TRUE, _xlpm.p_value_raw), _xlfn.HSTACK(_xlpm.g1_names, _xlpm.g2_names, IF(_xlpm.p_star &gt; 1, 1, _xlpm.p_star))))</definedName>
    <definedName name="PAIRWISE.T.TEST">_xlfn.LAMBDA(_xlpm.values,_xlpm.groups,_xlop.adjustment, _xlfn.LET(_xlpm.n_all, COUNT(_xlpm.values), _xlpm.group_names, _xlfn.UNIQUE(_xlpm.groups), _xlpm.k_all, COUNTA(_xlpm.group_names), _xlpm.m_triang, MTRIANGLE(_xlpm.k_all, , 1), _xlpm.group_id, _xlfn.SEQUENCE(_xlpm.k_all), _xlpm.grp_1, _xlfn.TOCOL(_xlpm.m_triang * _xlpm.group_id), _xlpm.grp_2, _xlfn.TOCOL(_xlpm.m_triang * TRANSPOSE(_xlpm.group_id)), _xlpm.g1_id, _xlfn._xlws.FILTER(_xlpm.grp_1, _xlpm.grp_1), _xlpm.g2_id, _xlfn._xlws.FILTER(_xlpm.grp_2, _xlpm.grp_2), _xlpm.g1_names, INDEX(_xlpm.group_names, _xlpm.g1_id), _xlpm.g2_names, INDEX(_xlpm.group_names, _xlpm.g2_id), _xlpm.p_values, _xlfn.MAP(_xlpm.g1_names, _xlpm.g2_names, _xlfn.LAMBDA(_xlpm.a_v,_xlpm.b_v, _xlfn.T.TEST(_xlfn._xlws.FILTER(_xlpm.values, _xlpm.groups = _xlpm.a_v), _xlfn._xlws.FILTER(_xlpm.values, _xlpm.groups = _xlpm.b_v), 2, 3))), _xlpm.p_value_raw, IF(_xlpm.p_values &gt; 0.5, 1 - _xlpm.p_values, _xlpm.p_values), _xlpm.p_star, 2 * _xlfn.IFS(_xlfn.ISOMITTED(_xlpm.adjustment), P.ADJ.BONFERRONI(_xlpm.p_value_raw, _xlpm.k_all), LOWER(_xlpm.adjustment) = "holm", P.ADJ.HOLM(_xlpm.p_value_raw, _xlpm.k_all), LOWER(_xlpm.adjustment) = "bonferroni", P.ADJ.BONFERRONI(_xlpm.p_value_raw, _xlpm.k_all), LOWER(_xlpm.adjustment) = "hochberg", P.ADJ.HOCHBERG(_xlpm.p_value_raw, _xlpm.k_all), LOWER(_xlpm.adjustment) = "sidak", P.ADJ.SIDAK(_xlpm.p_value_raw, _xlpm.k_all), LOWER(_xlpm.adjustment) = "holmsidak", P.ADJ.HOLM_SIDAK(_xlpm.p_value_raw, _xlpm.k_all), LOWER(_xlpm.adjustment) = "holm-sidak", P.ADJ.HOLM_SIDAK(_xlpm.p_value_raw, _xlpm.k_all), LOWER(_xlpm.adjustment) = "holm_sidak", P.ADJ.HOLM_SIDAK(_xlpm.p_value_raw, _xlpm.k_all), TRUE, _xlpm.p_value_raw), _xlfn.HSTACK(_xlpm.g1_names, _xlpm.g2_names, IF(_xlpm.p_star &gt; 1, 1, _xlpm.p_star))))</definedName>
    <definedName name="POLYVAL.2P">_xlfn.LAMBDA(_xlpm.coeff,_xlpm.x_value, _xlfn.LET(_xlpm.n_v, COUNT(_xlpm.coeff), _xlpm.e_v, _xlfn.SEQUENCE(_xlpm.n_v, 1, _xlpm.n_v - 1, -1), SUMPRODUCT(_xlpm.coeff, _xlpm.x_value ^ _xlpm.e_v)))</definedName>
    <definedName name="PQ.RENAME.HELPER">_xlfn.LAMBDA(_xlpm.names,_xlpm.labels, _xlfn.TEXTJOIN(",", , _xlfn.BYROW(_xlfn.MAP(_xlfn.HSTACK(_xlpm.labels, _xlpm.names), _xlfn.LAMBDA(_xlpm.string, """" &amp; _xlpm.string &amp; """")), _xlfn.LAMBDA(_xlpm.row, "{" &amp; _xlfn.TEXTJOIN(",", , _xlpm.row) &amp; "}"))))</definedName>
    <definedName name="PREP.ALTERNATIVE">_xlfn.LAMBDA(_xlpm.alt, _xlfn.XLOOKUP(LEFT(LOWER(_xlpm.alt), 1), {"t";"g";"l";"r";"k";"u";"b";"&lt;";"&gt;"}, {"t";"g";"l";"g";"l";"t";"t";"l";"g"}, #VALUE!))</definedName>
    <definedName name="QQ.DATA">_xlfn.LAMBDA(_xlpm.Values,_xlop.with_headers, _xlfn.LET(_xlpm.with_headers, OR(_xlfn.ISOMITTED(_xlpm.with_headers), _xlpm.with_headers), _xlpm.m_w, AVERAGE(_xlpm.Values), _xlpm.m_s, _xlfn.STDEV.S(_xlpm.Values), _xlpm.rank, (_xlfn.RANK.AVG(_xlpm.Values, _xlpm.Values, 1) - 0.5) / COUNT(_xlpm.Values), _xlpm.results, _xlfn.HSTACK(_xlfn.NORM.S.INV(_xlpm.rank), (_xlpm.Values - _xlpm.m_w) / _xlpm.m_s), IF(_xlpm.with_headers, _xlfn.VSTACK(TRANSPOSE({"Theoretisch";"Gemessen"}), _xlpm.results), _xlpm.results)))</definedName>
    <definedName name="QUICK.CODE">_xlfn.LAMBDA(_xlpm.variable,_xlpm.order, _xlfn.XMATCH(_xlpm.variable, _xlpm.order))</definedName>
    <definedName name="RANDOM.NORM">_xlfn.LAMBDA(_xlpm.p_n,_xlop.mean,_xlop.sdev, _xlfn.LET(_xlpm.mean, IF(_xlfn.ISOMITTED(_xlpm.mean), 0, _xlpm.mean), _xlpm.sdev, IF(_xlfn.ISOMITTED(_xlpm.sdev), 1, _xlpm.sdev), SQRT(-2 * LN(_xlfn.RANDARRAY(_xlpm.p_n))) + COS(2 * PI() * _xlfn.RANDARRAY(_xlpm.p_n)) * _xlpm.sdev + _xlpm.mean))</definedName>
    <definedName name="REGRESSION">_xlfn.LAMBDA(_xlpm.A_VAR,_xlpm.UA_VAR, _xlfn.LET(_xlpm.KOEFMAT, _xlfn.HSTACK(_xlfn.SEQUENCE(ROWS(_xlpm.A_VAR), 1, 1, 0), _xlpm.UA_VAR), _xlpm.REDDIM, MMULT(TRANSPOSE(_xlpm.KOEFMAT), _xlpm.KOEFMAT), MMULT(MMULT(MINVERSE(_xlpm.REDDIM), TRANSPOSE(_xlpm.KOEFMAT)), _xlpm.A_VAR)))</definedName>
    <definedName name="REGRESSION.RESIDUALS">_xlfn.LAMBDA(_xlpm.A_VAR,_xlpm.UA_VAR, _xlfn.LET(_xlpm.KOEF, TRANSPOSE(LINEST(_xlpm.A_VAR, _xlpm.UA_VAR)), _xlpm.KOEFMAT, _xlfn.HSTACK(_xlfn.SEQUENCE(ROWS(_xlpm.A_VAR), 1, 1, 0), _xlpm.UA_VAR), _xlpm.ESTIMATES, MMULT(_xlpm.KOEFMAT, _xlpm.KOEF), _xlpm.ESTIMATES - _xlpm.A_VAR))</definedName>
    <definedName name="REGRESSION.RESIDUEN">REGRESSION.RESIDUALS</definedName>
    <definedName name="REGRESSION.STATS">_xlfn.LAMBDA(_xlpm.A_VAR,_xlpm.UA_VAR, _xlfn.LET(_xlpm.R_KOEF, LINEST(_xlpm.A_VAR, _xlpm.UA_VAR, TRUE, TRUE), _xlpm.Func_koef, _xlfn.CHOOSEROWS(_xlpm.R_KOEF, 1), _xlpm.se_koef, _xlfn.CHOOSEROWS(_xlpm.R_KOEF, 2), _xlpm.t_Values, _xlpm.Func_koef / _xlpm.se_koef, _xlpm.f_df, _xlfn.CHOOSEROWS(_xlfn.CHOOSECOLS(_xlpm.R_KOEF, 2), 4), _xlpm.p_Values, _xlfn.T.DIST.2T(ABS(_xlpm.t_Values), _xlpm.f_df), _xlfn.HSTACK(_xlfn.VSTACK("Koef.", "se", "t", "p(|t|)", "r2/rse", "F Stat.", "SSres"), _xlfn.VSTACK(VREVERSE(_xlpm.Func_koef), VREVERSE(_xlpm.se_koef), VREVERSE(_xlpm.t_Values), VREVERSE(_xlpm.p_Values), _xlfn.CHOOSEROWS(_xlpm.R_KOEF, 3, 4, 5)))))</definedName>
    <definedName name="REMOVE.INVALID">_xlfn.LAMBDA(_xlpm.vectors,_xlop.extra_values, _xlfn.LET(_xlpm.v_iv, IF(_xlfn.ISOMITTED(_xlpm.extra_values), _xlpm.vectors, MARK.INVALID(_xlpm.vectors, _xlpm.extra_values)), _xlpm.invalid, _xlfn.BYROW(_xlpm.v_iv, _xlfn.LAMBDA(_xlpm.zeile, OR(ISERROR(_xlpm.zeile)))), _xlfn._xlws.FILTER(_xlpm.vectors, NOT(_xlpm.invalid))))</definedName>
    <definedName name="ROWSUM">_xlfn.LAMBDA(_xlpm.matrix, _xlfn.BYROW(_xlpm.matrix, _xleta.SUM))</definedName>
    <definedName name="SCHEMA.CHOOSE">_xlfn.LAMBDA(_xlpm.data,_xlpm.types,_xlop.type, _xlfn.LET(_xlpm.type, IF(_xlfn.ISOMITTED(_xlpm.type), "m", LEFT(LOWER(_xlpm.type), 1)), _xlpm.types, LEFT(LOWER(_xlpm.types), 1), IF(COLUMNS(_xlpm.data) = 1, TRANSPOSE(_xlfn._xlws.FILTER(_xlpm.data, _xlpm.type = _xlpm.types)), _xlfn.CHOOSECOLS(_xlpm.data, _xlfn._xlws.FILTER(_xlfn.SEQUENCE(COUNTA(_xlpm.types)), _xlpm.type = _xlpm.types)))))</definedName>
    <definedName name="SCHNELL.KODIEREN">QUICK.CODE</definedName>
    <definedName name="SEQUENCE.RANGE">_xlfn.LAMBDA(_xlpm.a_v,_xlop.b_or_step,_xlop.step, _xlfn.LET(_xlpm.a_vs, _xlfn.TOCOL(_xlpm.a_v), _xlpm.n_a, COUNT(_xlpm.a_vs), _xlpm.b_v, IF(AND(_xlpm.n_a = 2, _xlfn.ISOMITTED(_xlpm.b_or_step), _xlfn.ISOMITTED(_xlpm.step)), INDEX(_xlpm.a_vs, 2, 1), _xlpm.b_or_step), _xlpm.step, _xlfn.IFS(AND(_xlfn.ISOMITTED(_xlpm.b_or_step), _xlfn.ISOMITTED(_xlpm.step)), 1, AND(_xlpm.n_a = 2, _xlfn.ISOMITTED(_xlpm.step)), _xlpm.b_or_step, _xlfn.ISOMITTED(_xlpm.step), 1, TRUE, _xlpm.step), _xlpm.a_v, INDEX(_xlpm.a_vs, 1, 1), _xlpm.s_delta, INT(_xlpm.b_v - _xlpm.a_v) + 1, _xlfn.SEQUENCE(_xlpm.s_delta, 1, _xlpm.a_v, _xlpm.step)))</definedName>
    <definedName name="SEQUENZ.INTERVALL">SEQUENCE.RANGE</definedName>
    <definedName name="SHAPIRO.WILK.TEST">_xlfn.LAMBDA(_xlpm.Values,_xlop.with_headers, _xlfn.LET(_xlpm.with_headers, IF(_xlfn.ISOMITTED(_xlpm.with_headers), TRUE, _xlpm.with_headers), _xlpm.Values, _xlfn._xlws.SORT(_xlpm.Values), _xlpm.m_w, AVERAGE(_xlpm.Values), _xlpm.m_s, _xlfn.STDEV.S(_xlpm.Values), _xlpm.n_values, COUNT(_xlpm.Values), _xlpm.m_values, _xlfn.NORM.S.INV((_xlfn.SEQUENCE(_xlpm.n_values) - 0.375) / (_xlpm.n_values + 0.25)), _xlpm.u_value, 1 / SQRT(_xlpm.n_values), _xlpm.m_n, _xlfn.CHOOSEROWS(_xlpm.m_values, _xlpm.n_values), _xlpm.m_n_1, _xlfn.CHOOSEROWS(_xlpm.m_values, _xlpm.n_values - 1), _xlpm.p_1, _xlfn.VSTACK(-2.706056, 4.434685, -2.07119, -0.147981, 0.221157, _xlpm.m_n / SQRT(SUM(_xlpm.m_values ^ 2))), _xlpm.p_2, _xlfn.VSTACK(-3.582633, 5.682633, -1.752461, -0.293762, 0.042981, _xlpm.m_n_1 / SQRT(SUM(_xlpm.m_values ^ 2))), _xlpm.w_n, POLYVAL.2P(_xlpm.p_1, _xlpm.u_value), _xlpm.w_1, -1 * _xlpm.w_n, _xlpm.w_n_1, POLYVAL.2P(_xlpm.p_2, _xlpm.u_value), _xlpm.w_2, -1 * _xlpm.w_n_1, _xlpm.C_T, IF(_xlpm.n_values &gt;= 6, 2, 1), _xlpm.w_seq, _xlfn.SEQUENCE(_xlpm.n_values - 2 * _xlpm.C_T, 1, _xlpm.C_T + 1), _xlpm.phi_v, IF(_xlpm.n_values &gt;= 6, (MMULT(TRANSPOSE(_xlpm.m_values), _xlpm.m_values) - 2 * _xlpm.m_n ^ 2 - 2 * _xlpm.m_n_1 ^ 2) / (1 - 2 * _xlpm.w_n ^ 2 - 2 * _xlpm.w_n_1 ^ 2), (MMULT(TRANSPOSE(_xlpm.m_values), _xlpm.m_values) - 2 * _xlpm.m_n ^ 2) / (1 - 2 * _xlpm.w_n ^ 2)), _xlpm.w_values, _xlfn.CHOOSEROWS(_xlpm.m_values, _xlpm.w_seq) / SQRT(_xlpm.phi_v), _xlpm.weights, IF(_xlpm.n_values = 3, _xlfn.VSTACK(0.707106781, 0, -0.707106781), _xlfn.VSTACK(IF(_xlpm.n_values &gt;= 6, _xlfn.VSTACK(_xlpm.w_1, _xlpm.w_2), _xlpm.w_1), _xlpm.w_values, IF(_xlpm.n_values &gt;= 6, _xlfn.VSTACK(_xlpm.w_n_1, _xlpm.w_n)))), _xlpm.residuals, _xlpm.Values - _xlpm.m_w, _xlpm.ww_v, MMULT(TRANSPOSE(_xlpm.weights), _xlpm.Values), _xlpm.res_w, MMULT(TRANSPOSE(_xlpm.ww_v), _xlpm.ww_v) / MMULT(TRANSPOSE(_xlpm.residuals), _xlpm.residuals), _xlfn.HSTACK(_xlpm.res_w, CALC.PV.SHAPIRO(_xlpm.res_w, _xlpm.n_values), )))</definedName>
    <definedName name="SIND.ALLE.GLEICH">IS.ALL.EQUAL</definedName>
    <definedName name="SPALTENSUMME">COLSUM</definedName>
    <definedName name="STAT.CORRECT.PVALUE">_xlfn.LAMBDA(_xlpm.p_value,_xlop.alternative, _xlfn.LET(_xlpm.alt, IF(_xlfn.ISOMITTED(_xlpm.alternative), "t", _xlpm.alternative), IFERROR(_xlfn.SWITCH(_xlpm.alt, "l", _xlpm.p_value, "g", 1 - _xlpm.p_value, "t", 2 * MIN(_xlpm.p_value, 1 - _xlpm.p_value), ), #VALUE!)))</definedName>
    <definedName name="STAT.DESCRIBE">_xlfn.LAMBDA(_xlpm.data,_xlop.type,_xlop.names, _xlfn.LET(_xlpm.type, IF(_xlfn.ISOMITTED(_xlpm.type), "m", LEFT(LOWER(_xlpm.type), 1)), _xlpm.colids, _xlfn.SEQUENCE(COLUMNS(_xlpm.data)), _xlpm.vals, _xlfn.CHOOSEROWS(_xlfn.REDUCE(_xlfn.SEQUENCE(1, IF(_xlpm.type = "o", 5, 8)), _xlpm.colids, _xlfn.LAMBDA(_xlpm.lines,_xlpm.colid, _xlfn.LET(_xlpm.raw_values, _xlfn.CHOOSECOLS(_xlpm.data, _xlpm.colid), _xlpm.values, _xlfn._xlws.FILTER(_xlpm.raw_values, ISNUMBER(_xlpm.raw_values)), _xlpm.cnt_values, COUNT(_xlpm.values), _xlpm.basic_stats, _xlfn.HSTACK(MIN(_xlpm.values), MEDIAN(_xlpm.values), MAX(_xlpm.values), STAT.IQR(_xlpm.values), STAT.MAD(_xlpm.values)), _xlpm.sdev, _xlfn.STDEV.S(_xlpm.values), _xlfn.VSTACK(_xlpm.lines, IF(_xlpm.type = "o", _xlfn.HSTACK(_xlpm.cnt_values, _xlpm.basic_stats), _xlfn.HSTACK(_xlpm.cnt_values, AVERAGE(_xlpm.values), _xlpm.sdev, _xlpm.sdev / SQRT(_xlpm.cnt_values), _xlpm.basic_stats)))))), _xlpm.colids + 1), _xlfn.IFS(_xlfn.ISOMITTED(_xlpm.names), _xlfn.HSTACK(_xlpm.colids, _xlpm.vals), ROWS(_xlpm.names) &gt; 1, _xlfn.HSTACK(_xlpm.names, _xlpm.vals), TRUE, _xlfn.HSTACK(TRANSPOSE(_xlpm.names), _xlpm.vals))))</definedName>
    <definedName name="STAT.DESCRIBE.LABELS">_xlfn.LAMBDA(_xlop.type, _xlfn.LET(_xlpm.type, IF(_xlfn.ISOMITTED(_xlpm.type), "m", LEFT(LOWER(_xlpm.type), 1)), _xlpm.labels_base, TRANSPOSE({"id";"n"}), _xlpm.labels_m, TRANSPOSE({"mean";"stddev";"stderr"}), _xlpm.labels_o, TRANSPOSE({"min";"median";"max";"IQR";"mad"}), IF(_xlpm.type = "o", _xlfn.HSTACK(_xlpm.labels_base, _xlpm.labels_o), _xlfn.HSTACK(_xlpm.labels_base, _xlpm.labels_m, _xlpm.labels_o))))</definedName>
    <definedName name="STAT.DESCRIBE.NOMINAL">_xlfn.LAMBDA(_xlpm.data,_xlop.variable, _xlfn.LET(_xlpm.variable, IF(_xlfn.ISOMITTED(_xlpm.variable), "", _xlpm.variable), _xlfn.VSTACK(_xlfn.HSTACK(_xlpm.variable, "Absolut", "Relativ"), _xlfn.HSTACK(STAT.TABLE(_xlpm.data, TRUE), STAT.TABLE.RELATIVE(_xlpm.data)))))</definedName>
    <definedName name="STAT.DESKRIPTIV">STAT.DESCRIBE</definedName>
    <definedName name="STAT.DESKRIPTIV.BESCHRIFTUNG">STAT.DESCRIBE.LABELS</definedName>
    <definedName name="STAT.DESKRIPTIV.FAKTORSTUFEN">STAT.DESCRIBE.NOMINAL</definedName>
    <definedName name="STAT.DESKRIPTIV.MERKMALE">STAT.DESCRIBE.NOMINAL</definedName>
    <definedName name="STAT.DESKRIPTIV.NOMINAL">STAT.DESCRIBE.NOMINAL</definedName>
    <definedName name="STAT.GEBUNDENE.VARIANZ">STAT.POOLED.VARIANCE</definedName>
    <definedName name="STAT.GEPOOLTE.VARIANZ">STAT.POOLED.VARIANCE</definedName>
    <definedName name="STAT.IQA">STAT.IQR</definedName>
    <definedName name="STAT.IQR">_xlfn.LAMBDA(_xlpm.vector_or_matrix, SUM(_xlfn.QUARTILE.INC(_xlpm.vector_or_matrix, {3;1}) * {1;-1}))</definedName>
    <definedName name="STAT.MAAD">STAT.MAD</definedName>
    <definedName name="STAT.MAD">_xlfn.LAMBDA(_xlpm.vector_or_matrix, MEDIAN(ABS(_xlpm.vector_or_matrix - MEDIAN(_xlpm.vector_or_matrix))))</definedName>
    <definedName name="STAT.POOLED.VARIANCE">_xlfn.LAMBDA(_xlpm.values,_xlpm.groups, _xlfn.LET(_xlpm.n_i, STAT.TABLE(_xlpm.groups) - 1, _xlpm.sum_n, SUM(_xlpm.n_i), _xlpm.s_i, GROUP.SD(_xlpm.values, _xlpm.groups) ^ 2, SUMPRODUCT(_xlpm.n_i, _xlpm.s_i) / _xlpm.sum_n))</definedName>
    <definedName name="STAT.SE">_xlfn.LAMBDA(_xlpm.values, _xlfn.LET(_xlpm.sdev, _xlfn.STDEV.S(_xlpm.values), _xlpm.cnt_values, COUNT(_xlpm.values), _xlpm.sdev / SQRT(_xlpm.cnt_values)))</definedName>
    <definedName name="STAT.SIGN">_xlfn.LAMBDA(_xlpm.value, -1 * (_xlpm.value &lt; 0) + (_xlpm.value &gt; 0))</definedName>
    <definedName name="STAT.STANDARDFEHLER">STAT.SE</definedName>
    <definedName name="STAT.STD.ERROR">STAT.SE</definedName>
    <definedName name="STAT.STDFEHLER">STAT.SE</definedName>
    <definedName name="STAT.TABELLE">STAT.TABLE</definedName>
    <definedName name="STAT.TABELLE.RELATIV">STAT.TABLE.RELATIVE</definedName>
    <definedName name="STAT.TABLE">_xlfn.LAMBDA(_xlpm.aval,_xlop.bval_or_heading,_xlop.heading, _xlfn.LET(_xlpm.mdim_a, ROWS(_xlpm.aval) - COLUMNS(_xlpm.aval), _xlpm.aval, IF(_xlpm.mdim_a &gt; 0, _xlfn.TOCOL(_xlpm.aval), _xlfn.TOROW(_xlpm.aval)), _xlpm.n_aval, COUNTA(_xlpm.aval), _xlpm.id_aval, _xlfn.UNIQUE(_xlpm.aval), _xlpm.b_p1, _xlfn.IFS(_xlfn.ISOMITTED(_xlpm.bval_or_heading), 0, COUNTA(_xlpm.bval_or_heading) = 1, 1, COUNTA(_xlpm.bval_or_heading) = _xlpm.n_aval, 2, TRUE, 0), _xlpm.heading, _xlfn.IFS(_xlpm.b_p1 = 1, N(_xlpm.bval_or_heading), _xlfn.ISOMITTED(_xlpm.heading), 0, TRUE, N(_xlpm.heading)) &lt;&gt; 0, _xlpm.bval, IF(_xlpm.b_p1 = 2, _xlpm.bval_or_heading, IF(_xlpm.mdim_a &gt; 0, VREPEAT(1, _xlpm.n_aval), HREPEAT(1, _xlpm.n_aval))), _xlpm.id_bval, TRANSPOSE(_xlfn.UNIQUE(_xlpm.bval)), _xlpm.id_avalT, TRANSPOSE(_xlpm.id_aval), _xlpm.results, MMULT(TRANSPOSE((ISERROR(_xlpm.id_avalT) + ISERROR(_xlpm.aval) - ISERROR(_xlpm.aval) * ISERROR(_xlpm.id_avalT)) * IFERROR(ERROR.TYPE(_xlpm.id_avalT) = ERROR.TYPE(_xlpm.aval), 0) + IFERROR(1 * (_xlpm.id_avalT = _xlpm.aval), 0)), (ISERROR(_xlpm.id_bval) + ISERROR(_xlpm.bval) - ISERROR(_xlpm.bval) * ISERROR(_xlpm.id_bval)) * IFERROR(ERROR.TYPE(_xlpm.id_bval) = ERROR.TYPE(_xlpm.bval), 0) + IFERROR(1 * (_xlpm.id_bval = _xlpm.bval), 0)), IF(_xlpm.heading, IF(_xlpm.b_p1 = 2, _xlfn.VSTACK(_xlfn.HSTACK("", _xlpm.id_bval), _xlfn.HSTACK(_xlpm.id_aval, _xlpm.results)), _xlfn.HSTACK(_xlpm.id_aval, _xlpm.results)), _xlpm.results)))</definedName>
    <definedName name="STAT.TABLE.RELATIVE">_xlfn.LAMBDA(_xlpm.aval,_xlop.bval_or_heading,_xlop.heading, _xlfn.LET(_xlpm.b_p1, _xlfn.IFS(_xlfn.ISOMITTED(_xlpm.bval_or_heading), 0, COUNTA(_xlpm.bval_or_heading) = 1, 1, COUNTA(_xlpm.bval_or_heading) = COUNTA(_xlpm.aval), 2, TRUE, 0), _xlpm.heading, _xlfn.IFS(_xlpm.b_p1 = 1, N(_xlpm.bval_or_heading), _xlfn.ISOMITTED(_xlpm.heading), 0, TRUE, N(_xlpm.heading)) &lt;&gt; 0, _xlpm.tab, IF(_xlpm.b_p1 = 2, STAT.TABLE(_xlpm.aval, _xlpm.bval_or_heading), STAT.TABLE(_xlpm.aval)), _xlpm.totals, SUM(_xlpm.tab), _xlpm.results, _xlpm.tab / _xlpm.totals, _xlpm.id_aval, _xlfn.UNIQUE(_xlpm.aval), _xlpm.id_bval, IF(_xlpm.b_p1 = 2, TRANSPOSE(_xlfn.UNIQUE(_xlpm.bval_or_heading)), #N/A), IF(_xlpm.heading, IF(_xlpm.b_p1 = 2, _xlfn.VSTACK(_xlfn.HSTACK("", _xlpm.id_bval), _xlfn.HSTACK(_xlpm.id_aval, _xlpm.results)), _xlfn.HSTACK(_xlpm.id_aval, _xlpm.results)), _xlpm.results)))</definedName>
    <definedName name="STAT.VORZEICHEN">STAT.SIGN</definedName>
    <definedName name="T.TEST.S">_xlfn.LAMBDA(_xlpm.p_values,_xlpm.p_groups,_xlop.alternative,_xlop.paired, _xlfn.LET(_xlpm.ab_names, _xlfn.UNIQUE(_xlpm.p_groups), _xlpm.paired, IF(_xlfn.ISOMITTED(_xlpm.paired), 3, IF(_xlpm.paired, 1, 3)), _xlpm.alternative, IF(_xlfn.ISOMITTED(_xlpm.alternative), "t", PREP.ALTERNATIVE(_xlpm.alternative)), _xlpm.altV, 1 + (_xlpm.alternative = "t"), _xlpm.altO, _xlpm.alternative = "g", _xlpm.g_1, _xlfn.CHOOSEROWS(_xlpm.ab_names, 1), _xlpm.g_2, _xlfn.CHOOSEROWS(_xlpm.ab_names, 2), _xlpm.p_v, IF(COUNTA(_xlpm.ab_names) = 2, _xlfn.T.TEST(_xlfn._xlws.FILTER(_xlpm.p_values, _xlpm.p_groups = _xlpm.g_1), _xlfn._xlws.FILTER(_xlpm.p_values, _xlpm.p_groups = _xlpm.g_2), _xlpm.altV, _xlpm.paired), #VALUE!), _xlpm.mw_1, AVERAGE(_xlfn._xlws.FILTER(_xlpm.p_values, _xlpm.p_groups = _xlpm.g_1)), _xlpm.mw_2, AVERAGE(_xlfn._xlws.FILTER(_xlpm.p_values, _xlpm.p_groups = _xlpm.g_2)), _xlfn.HSTACK(IF(OR(AND(_xlpm.altO, _xlpm.mw_1 &lt; _xlpm.mw_2), AND(_xlpm.alternative = "l", _xlpm.mw_1 &gt; _xlpm.mw_2)), 1 - _xlpm.p_v, _xlpm.p_v), _xlfn.TEXTJOIN(_xlfn.SWITCH(_xlpm.alternative, "t", "&lt;&gt;", "l", "&lt;", "g", "&gt;"), , _xlpm.ab_names))))</definedName>
    <definedName name="TABELLEN.AUSWAHL">TABLE.SELECT</definedName>
    <definedName name="TABLE.SELECT">_xlfn.LAMBDA(_xlpm.tab_name,_xlpm.col_names,_xlop.with_headers, _xlfn.LET(_xlpm.n_rows, ROWS(INDIRECT(_xlpm.tab_name)), _xlpm.col_refs, _xlpm.tab_name &amp; "[" &amp; _xlpm.col_names &amp; "]", _xlpm.no_rows, _xlfn.SEQUENCE(_xlpm.n_rows), _xlpm.no_cols, _xlfn.SEQUENCE(COUNTA(_xlpm.col_names)) + 1, _xlpm.col_headers, IF(ROWS(_xlpm.col_names) &gt; COLUMNS(_xlpm.col_names), TRANSPOSE(_xlpm.col_names), _xlpm.col_names), _xlpm.result, _xlfn.CHOOSECOLS(_xlfn.REDUCE(_xlpm.no_rows, _xlpm.col_refs, _xlfn.LAMBDA(_xlpm.accu,_xlpm.col_ref, _xlfn.HSTACK(_xlpm.accu, _xlfn.LET(_xlpm.values, INDIRECT(_xlpm.col_ref), IF(ISBLANK(_xlpm.values), #N/A, _xlpm.values))))), _xlpm.no_cols), IF(OR(_xlfn.ISOMITTED(_xlpm.with_headers), NOT(_xlpm.with_headers)), _xlpm.result, _xlfn.VSTACK(_xlpm.col_headers, _xlpm.result))))</definedName>
    <definedName name="UNGÜLTIGE.LÖSCHEN">REMOVE.INVALID</definedName>
    <definedName name="VEKTOR.LÄNGE">VLENGTH</definedName>
    <definedName name="VEKTOR.UMKEHREN">VREVERSE</definedName>
    <definedName name="VLENGTH">_xlfn.LAMBDA(_xlpm.vector, _xlfn.LET(_xlpm.cols, COLUMNS(_xlpm.vector), _xlpm.length, IS.VECTOR(_xlpm.vector) * (_xlpm.cols * (_xlpm.cols &lt;&gt; 1) + ROWS(_xlpm.vector) * (_xlpm.cols = 1)), IF(_xlpm.length, _xlpm.length, #VALUE!)))</definedName>
    <definedName name="VREPEAT">_xlfn.LAMBDA(_xlpm.value,_xlpm.n_times, IF(AND(COUNTA(_xlpm.value) = 1, COUNT(_xlpm.n_times) = 1, _xlpm.n_times &gt; 0), IF(ISNUMBER(_xlpm.value) + ISLOGICAL(_xlpm.value), _xlfn.SEQUENCE(_xlpm.n_times, 1, _xlpm.value, 0), IF(_xlfn.SEQUENCE(_xlpm.n_times), _xlpm.value)), #VALUE!))</definedName>
    <definedName name="VREVERSE">_xlfn.LAMBDA(_xlpm.vektor, _xlfn.LET(_xlpm.v_length, VLENGTH(_xlpm.vektor), _xlpm.v_pos, _xlfn.SEQUENCE(_xlpm.v_length, 1, _xlpm.v_length, -1), IF(COLUMNS(_xlpm.vektor) = _xlpm.v_length, _xlfn.CHOOSECOLS(_xlpm.vektor, _xlpm.v_pos), _xlfn.CHOOSEROWS(_xlpm.vektor, _xlpm.v_pos))))</definedName>
    <definedName name="VWIEDERHOLEN">VREPEAT</definedName>
    <definedName name="WILCOXON.TEST">_xlfn.LAMBDA(_xlpm.p_values,_xlpm.p_groups,_xlop.alternative,_xlop.paired,_xlop.correct, _xlfn.LET(_xlpm.alternative, IF(_xlfn.ISOMITTED(_xlpm.alternative), "t", PREP.ALTERNATIVE(_xlpm.alternative)), _xlpm.correct, IF(_xlfn.ISOMITTED(_xlpm.correct), TRUE, _xlpm.correct), _xlpm.paired, IF(_xlfn.ISOMITTED(_xlpm.paired), FALSE, _xlpm.paired), _xlpm.ab_names, _xlfn.UNIQUE(_xlpm.p_groups), _xlpm.ab_n, COUNTA(_xlpm.ab_names), _xlpm.n_ab, GROUP.COUNT(_xlpm.p_groups), IF(AND(_xlpm.ab_n = 2, _xlpm.n_ab &gt; 1, OR(NOT(_xlpm.paired), IS.ALL.EQUAL(_xlpm.n_ab))), _xlfn.LET(_xlpm.rank, _xlfn.RANK.AVG(_xlpm.p_values, _xlpm.p_values), _xlpm.STATISTIC, MIN(GROUP.SUM(_xlpm.rank, _xlpm.p_groups) - _xlpm.n_ab * (_xlpm.n_ab + 1) / 2), _xlpm.prod_ab, PRODUCT(_xlpm.n_ab), _xlpm.sum_ab, SUM(_xlpm.n_ab), _xlpm.z_value, _xlpm.STATISTIC - _xlpm.prod_ab / 2, _xlpm.correctTies, (COUNT(_xlfn.UNIQUE(_xlpm.rank)) &lt; COUNT(_xlpm.rank)) * _xlfn.LET(_xlpm.NTIES, STAT.TABLE(_xlpm.rank), SUM(_xlpm.NTIES ^ 3 - _xlpm.NTIES) / (_xlpm.sum_ab * (_xlpm.sum_ab - 1))), _xlpm.SIGMA, SQRT((_xlpm.prod_ab * ((_xlpm.sum_ab + 1) - _xlpm.correctTies)) / 12), _xlpm.correction_value, _xlpm.correct * _xlfn.SWITCH(_xlpm.alternative, "t", STAT.SIGN(_xlpm.z_value) * 0.5, "l", -0.5, "g", 0.5, ), _xlpm.ZVAL, (_xlpm.z_value - _xlpm.correction_value) / _xlpm.SIGMA, _xlpm.PVAL, STAT.CORRECT.PVALUE(_xlfn.NORM.DIST(_xlpm.ZVAL, 0, 1, TRUE)), _xlfn.VSTACK(_xlfn.HSTACK("Statistik", "Z-Wert", "p-Wert", "Alternative"), _xlfn.HSTACK(_xlpm.STATISTIC, _xlpm.ZVAL, _xlpm.PVAL, _xlfn.TEXTJOIN(_xlfn.SWITCH(_xlpm.alternative, "t", "&lt;&gt;", "l", "&lt;", "g", "&gt;"), , _xlpm.ab_names)))), #VALUE!)))</definedName>
    <definedName name="ZEILENSUMME">ROWSUM</definedName>
    <definedName name="ZUFALLSMATRIX.NORMAL">RANDOM.NORM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4" l="1" a="1"/>
  <c r="I42" i="4" s="1"/>
  <c r="T2" i="4" a="1"/>
  <c r="T2" i="4" s="1"/>
  <c r="O2" i="4" a="1"/>
  <c r="O2" i="4" s="1"/>
  <c r="G2" i="4" a="1"/>
  <c r="G2" i="4" s="1"/>
  <c r="I9" i="4" a="1"/>
  <c r="I9" i="4" s="1"/>
  <c r="I33" i="4" a="1"/>
  <c r="I33" i="4" s="1"/>
  <c r="I28" i="4"/>
  <c r="I27" i="4" s="1" a="1"/>
  <c r="I27" i="4" s="1"/>
  <c r="K2" i="4" a="1"/>
  <c r="K2" i="4" s="1"/>
  <c r="I18" i="4" a="1"/>
  <c r="I18" i="4" s="1"/>
  <c r="I2" i="4" a="1"/>
  <c r="I2" i="4" s="1"/>
  <c r="I24" i="4" l="1" a="1"/>
  <c r="I24" i="4" s="1"/>
  <c r="K25" i="4" s="1"/>
  <c r="Q2" i="4" a="1"/>
  <c r="Q2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058179-41C1-8449-B22C-4C6DD5685516}" keepAlive="1" name="Abfrage - iris" description="Verbindung mit der Abfrage 'iris' in der Arbeitsmappe." type="5" refreshedVersion="8" background="1" saveData="1">
    <dbPr connection="Provider=Microsoft.Mashup.OleDb.1;Data Source=$Workbook$;Location=iris;Extended Properties=&quot;&quot;" command="SELECT * FROM [iri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<sst xmlns="http://schemas.openxmlformats.org/spreadsheetml/2006/main" count="157" uniqueCount="10">
  <si>
    <t>Sepal.Length</t>
  </si>
  <si>
    <t>Sepal.Width</t>
  </si>
  <si>
    <t>Petal.Length</t>
  </si>
  <si>
    <t>Petal.Width</t>
  </si>
  <si>
    <t>Species</t>
  </si>
  <si>
    <t>setosa</t>
  </si>
  <si>
    <t>versicolor</t>
  </si>
  <si>
    <t>virginica</t>
  </si>
  <si>
    <t>SS_res</t>
  </si>
  <si>
    <t>SS_tot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</si>
</sst>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Standard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iris!$R$2</c:f>
              <c:strCache>
                <c:ptCount val="1"/>
                <c:pt idx="0">
                  <c:v>Gemessen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iris!$Q$3:$Q$152</c:f>
              <c:numCache>
                <c:formatCode>General</c:formatCode>
                <c:ptCount val="150"/>
                <c:pt idx="0">
                  <c:v>1.1422903927149712</c:v>
                </c:pt>
                <c:pt idx="1">
                  <c:v>0.29673783825989819</c:v>
                </c:pt>
                <c:pt idx="2">
                  <c:v>0.62292572321008777</c:v>
                </c:pt>
                <c:pt idx="3">
                  <c:v>0.53401185318210209</c:v>
                </c:pt>
                <c:pt idx="4">
                  <c:v>1.2627844162947799</c:v>
                </c:pt>
                <c:pt idx="5">
                  <c:v>1.8339146358159142</c:v>
                </c:pt>
                <c:pt idx="6">
                  <c:v>1.0654625443443777</c:v>
                </c:pt>
                <c:pt idx="7">
                  <c:v>0.94107453035297695</c:v>
                </c:pt>
                <c:pt idx="8">
                  <c:v>0.26198457630007294</c:v>
                </c:pt>
                <c:pt idx="9">
                  <c:v>0.4864238746285881</c:v>
                </c:pt>
                <c:pt idx="10">
                  <c:v>1.3407550336902161</c:v>
                </c:pt>
                <c:pt idx="11">
                  <c:v>1.0222413874778939</c:v>
                </c:pt>
                <c:pt idx="12">
                  <c:v>0.32303773198182584</c:v>
                </c:pt>
                <c:pt idx="13">
                  <c:v>0.45839780735990404</c:v>
                </c:pt>
                <c:pt idx="14">
                  <c:v>1.9893129908833236</c:v>
                </c:pt>
                <c:pt idx="15">
                  <c:v>2.7130518884727204</c:v>
                </c:pt>
                <c:pt idx="16">
                  <c:v>1.8339146358159142</c:v>
                </c:pt>
                <c:pt idx="17">
                  <c:v>1.1422903927149712</c:v>
                </c:pt>
                <c:pt idx="18">
                  <c:v>1.5273795175235878</c:v>
                </c:pt>
                <c:pt idx="19">
                  <c:v>1.6448536269514715</c:v>
                </c:pt>
                <c:pt idx="20">
                  <c:v>0.79490860793218543</c:v>
                </c:pt>
                <c:pt idx="21">
                  <c:v>1.4757910281791713</c:v>
                </c:pt>
                <c:pt idx="22">
                  <c:v>1.4278559202758598</c:v>
                </c:pt>
                <c:pt idx="23">
                  <c:v>0.7170660652139651</c:v>
                </c:pt>
                <c:pt idx="24">
                  <c:v>1.0222413874778939</c:v>
                </c:pt>
                <c:pt idx="25">
                  <c:v>0.27931903444745415</c:v>
                </c:pt>
                <c:pt idx="26">
                  <c:v>0.94107453035297695</c:v>
                </c:pt>
                <c:pt idx="27">
                  <c:v>1.09541849892971</c:v>
                </c:pt>
                <c:pt idx="28">
                  <c:v>0.85358795751157213</c:v>
                </c:pt>
                <c:pt idx="29">
                  <c:v>0.62292572321008777</c:v>
                </c:pt>
                <c:pt idx="30">
                  <c:v>0.514837373499614</c:v>
                </c:pt>
                <c:pt idx="31">
                  <c:v>0.79490860793218543</c:v>
                </c:pt>
                <c:pt idx="32">
                  <c:v>2.128045234184984</c:v>
                </c:pt>
                <c:pt idx="33">
                  <c:v>2.3263478740408408</c:v>
                </c:pt>
                <c:pt idx="34">
                  <c:v>0.4864238746285881</c:v>
                </c:pt>
                <c:pt idx="35">
                  <c:v>0.5533847195556727</c:v>
                </c:pt>
                <c:pt idx="36">
                  <c:v>0.98085010261434624</c:v>
                </c:pt>
                <c:pt idx="37">
                  <c:v>1.300781274438926</c:v>
                </c:pt>
                <c:pt idx="38">
                  <c:v>0.40338276102740911</c:v>
                </c:pt>
                <c:pt idx="39">
                  <c:v>0.87789629505122857</c:v>
                </c:pt>
                <c:pt idx="40">
                  <c:v>1.2089900535709222</c:v>
                </c:pt>
                <c:pt idx="41">
                  <c:v>-1.3407550336902161</c:v>
                </c:pt>
                <c:pt idx="42">
                  <c:v>0.73884684918521393</c:v>
                </c:pt>
                <c:pt idx="43">
                  <c:v>1.2089900535709222</c:v>
                </c:pt>
                <c:pt idx="44">
                  <c:v>1.6448536269514715</c:v>
                </c:pt>
                <c:pt idx="45">
                  <c:v>0.32303773198182584</c:v>
                </c:pt>
                <c:pt idx="46">
                  <c:v>1.6448536269514715</c:v>
                </c:pt>
                <c:pt idx="47">
                  <c:v>0.67448975019608193</c:v>
                </c:pt>
                <c:pt idx="48">
                  <c:v>1.3829941271006372</c:v>
                </c:pt>
                <c:pt idx="49">
                  <c:v>0.76098392848895102</c:v>
                </c:pt>
                <c:pt idx="50">
                  <c:v>0.10883503703752988</c:v>
                </c:pt>
                <c:pt idx="51">
                  <c:v>0.23612801801200564</c:v>
                </c:pt>
                <c:pt idx="52">
                  <c:v>-0.10883503703752988</c:v>
                </c:pt>
                <c:pt idx="53">
                  <c:v>-1.7132494016280724</c:v>
                </c:pt>
                <c:pt idx="54">
                  <c:v>-0.80642124701824058</c:v>
                </c:pt>
                <c:pt idx="55">
                  <c:v>-0.39433553210082262</c:v>
                </c:pt>
                <c:pt idx="56">
                  <c:v>0.4307272992954575</c:v>
                </c:pt>
                <c:pt idx="57">
                  <c:v>-1.1918161716813944</c:v>
                </c:pt>
                <c:pt idx="58">
                  <c:v>-0.514837373499614</c:v>
                </c:pt>
                <c:pt idx="59">
                  <c:v>-0.47704042848944361</c:v>
                </c:pt>
                <c:pt idx="60">
                  <c:v>-2.7130518884727173</c:v>
                </c:pt>
                <c:pt idx="61">
                  <c:v>3.3427934830255239E-2</c:v>
                </c:pt>
                <c:pt idx="62">
                  <c:v>-2.0537489106318225</c:v>
                </c:pt>
                <c:pt idx="63">
                  <c:v>-0.29673783825989802</c:v>
                </c:pt>
                <c:pt idx="64">
                  <c:v>-0.14252331243751357</c:v>
                </c:pt>
                <c:pt idx="65">
                  <c:v>-2.506890825871106E-2</c:v>
                </c:pt>
                <c:pt idx="66">
                  <c:v>0.1340875639919881</c:v>
                </c:pt>
                <c:pt idx="67">
                  <c:v>-0.74986945374065561</c:v>
                </c:pt>
                <c:pt idx="68">
                  <c:v>-2.3263478740408408</c:v>
                </c:pt>
                <c:pt idx="69">
                  <c:v>-1.2265281200366105</c:v>
                </c:pt>
                <c:pt idx="70">
                  <c:v>0.38532046640756784</c:v>
                </c:pt>
                <c:pt idx="71">
                  <c:v>-0.54367278029882027</c:v>
                </c:pt>
                <c:pt idx="72">
                  <c:v>-1.5010859460440247</c:v>
                </c:pt>
                <c:pt idx="73">
                  <c:v>-0.54367278029882027</c:v>
                </c:pt>
                <c:pt idx="74">
                  <c:v>-0.42157763531715681</c:v>
                </c:pt>
                <c:pt idx="75">
                  <c:v>-0.2275449766411495</c:v>
                </c:pt>
                <c:pt idx="76">
                  <c:v>-0.87789629505122846</c:v>
                </c:pt>
                <c:pt idx="77">
                  <c:v>-0.27064163977583461</c:v>
                </c:pt>
                <c:pt idx="78">
                  <c:v>-0.24472849025792423</c:v>
                </c:pt>
                <c:pt idx="79">
                  <c:v>-0.98085010261434624</c:v>
                </c:pt>
                <c:pt idx="80">
                  <c:v>-1.4050715603096353</c:v>
                </c:pt>
                <c:pt idx="81">
                  <c:v>-1.4050715603096353</c:v>
                </c:pt>
                <c:pt idx="82">
                  <c:v>-0.74986945374065561</c:v>
                </c:pt>
                <c:pt idx="83">
                  <c:v>-0.85358795751157213</c:v>
                </c:pt>
                <c:pt idx="84">
                  <c:v>0.1933732458926043</c:v>
                </c:pt>
                <c:pt idx="85">
                  <c:v>0.65365619155083965</c:v>
                </c:pt>
                <c:pt idx="86">
                  <c:v>-2.506890825871106E-2</c:v>
                </c:pt>
                <c:pt idx="87">
                  <c:v>-1.8807936081512509</c:v>
                </c:pt>
                <c:pt idx="88">
                  <c:v>0.1340875639919881</c:v>
                </c:pt>
                <c:pt idx="89">
                  <c:v>-1.1584837810112794</c:v>
                </c:pt>
                <c:pt idx="90">
                  <c:v>-0.90273479164386372</c:v>
                </c:pt>
                <c:pt idx="91">
                  <c:v>-6.6893275193709439E-2</c:v>
                </c:pt>
                <c:pt idx="92">
                  <c:v>-1.0654625443443777</c:v>
                </c:pt>
                <c:pt idx="93">
                  <c:v>-1.5833867842263332</c:v>
                </c:pt>
                <c:pt idx="94">
                  <c:v>-0.59277262069791836</c:v>
                </c:pt>
                <c:pt idx="95">
                  <c:v>9.2039486959116748E-2</c:v>
                </c:pt>
                <c:pt idx="96">
                  <c:v>-0.15942590162832465</c:v>
                </c:pt>
                <c:pt idx="97">
                  <c:v>-0.33185334643681658</c:v>
                </c:pt>
                <c:pt idx="98">
                  <c:v>-1.0364333894937898</c:v>
                </c:pt>
                <c:pt idx="99">
                  <c:v>-0.39433553210082262</c:v>
                </c:pt>
                <c:pt idx="100">
                  <c:v>0.4307272992954575</c:v>
                </c:pt>
                <c:pt idx="101">
                  <c:v>-0.74986945374065561</c:v>
                </c:pt>
                <c:pt idx="102">
                  <c:v>-0.43991316567323374</c:v>
                </c:pt>
                <c:pt idx="103">
                  <c:v>-0.36738302291379804</c:v>
                </c:pt>
                <c:pt idx="104">
                  <c:v>-0.1933732458926043</c:v>
                </c:pt>
                <c:pt idx="105">
                  <c:v>-0.61281299101662734</c:v>
                </c:pt>
                <c:pt idx="106">
                  <c:v>-0.92814312277405653</c:v>
                </c:pt>
                <c:pt idx="107">
                  <c:v>-0.82977383532890403</c:v>
                </c:pt>
                <c:pt idx="108">
                  <c:v>-1.6448536269514726</c:v>
                </c:pt>
                <c:pt idx="109">
                  <c:v>0.69562027304633833</c:v>
                </c:pt>
                <c:pt idx="110">
                  <c:v>0.21042839424792484</c:v>
                </c:pt>
                <c:pt idx="111">
                  <c:v>-1.0082523471706801</c:v>
                </c:pt>
                <c:pt idx="112">
                  <c:v>-0.3142471516333209</c:v>
                </c:pt>
                <c:pt idx="113">
                  <c:v>-1.262784416294781</c:v>
                </c:pt>
                <c:pt idx="114">
                  <c:v>-0.45839780735990426</c:v>
                </c:pt>
                <c:pt idx="115">
                  <c:v>0.23612801801200564</c:v>
                </c:pt>
                <c:pt idx="116">
                  <c:v>-0.1933732458926043</c:v>
                </c:pt>
                <c:pt idx="117">
                  <c:v>0.90273479164386372</c:v>
                </c:pt>
                <c:pt idx="118">
                  <c:v>-1.7907505531699293</c:v>
                </c:pt>
                <c:pt idx="119">
                  <c:v>-2.0537489106318225</c:v>
                </c:pt>
                <c:pt idx="120">
                  <c:v>0.15942590162832465</c:v>
                </c:pt>
                <c:pt idx="121">
                  <c:v>-0.34956302147213442</c:v>
                </c:pt>
                <c:pt idx="122">
                  <c:v>-1.300781274438926</c:v>
                </c:pt>
                <c:pt idx="123">
                  <c:v>-0.95416525314619549</c:v>
                </c:pt>
                <c:pt idx="124">
                  <c:v>0.35845879325119384</c:v>
                </c:pt>
                <c:pt idx="125">
                  <c:v>5.8521379455687417E-2</c:v>
                </c:pt>
                <c:pt idx="126">
                  <c:v>-0.57296754849546372</c:v>
                </c:pt>
                <c:pt idx="127">
                  <c:v>-6.6893275193709439E-2</c:v>
                </c:pt>
                <c:pt idx="128">
                  <c:v>-0.68501677847510223</c:v>
                </c:pt>
                <c:pt idx="129">
                  <c:v>-0.49585034734745354</c:v>
                </c:pt>
                <c:pt idx="130">
                  <c:v>-1.0954184989297102</c:v>
                </c:pt>
                <c:pt idx="131">
                  <c:v>0.82977383532890403</c:v>
                </c:pt>
                <c:pt idx="132">
                  <c:v>-0.68501677847510223</c:v>
                </c:pt>
                <c:pt idx="133">
                  <c:v>-0.63310256609493998</c:v>
                </c:pt>
                <c:pt idx="134">
                  <c:v>-1.1263911290388013</c:v>
                </c:pt>
                <c:pt idx="135">
                  <c:v>-0.65365619155083987</c:v>
                </c:pt>
                <c:pt idx="136">
                  <c:v>0.57296754849546372</c:v>
                </c:pt>
                <c:pt idx="137">
                  <c:v>7.5269862099829901E-2</c:v>
                </c:pt>
                <c:pt idx="138">
                  <c:v>8.3555248042933294E-3</c:v>
                </c:pt>
                <c:pt idx="139">
                  <c:v>-0.10883503703752988</c:v>
                </c:pt>
                <c:pt idx="140">
                  <c:v>-2.506890825871106E-2</c:v>
                </c:pt>
                <c:pt idx="141">
                  <c:v>-0.10883503703752988</c:v>
                </c:pt>
                <c:pt idx="142">
                  <c:v>-0.74986945374065561</c:v>
                </c:pt>
                <c:pt idx="143">
                  <c:v>0.17637416478086121</c:v>
                </c:pt>
                <c:pt idx="144">
                  <c:v>0.35845879325119384</c:v>
                </c:pt>
                <c:pt idx="145">
                  <c:v>-0.27064163977583461</c:v>
                </c:pt>
                <c:pt idx="146">
                  <c:v>-1.5010859460440247</c:v>
                </c:pt>
                <c:pt idx="147">
                  <c:v>-0.1933732458926043</c:v>
                </c:pt>
                <c:pt idx="148">
                  <c:v>0.59277262069791847</c:v>
                </c:pt>
                <c:pt idx="149">
                  <c:v>3.3427934830255239E-2</c:v>
                </c:pt>
              </c:numCache>
            </c:numRef>
          </c:xVal>
          <c:yVal>
            <c:numRef>
              <c:f>iris!$R$3:$R$152</c:f>
              <c:numCache>
                <c:formatCode>General</c:formatCode>
                <c:ptCount val="150"/>
                <c:pt idx="0">
                  <c:v>1.1890841666452083</c:v>
                </c:pt>
                <c:pt idx="1">
                  <c:v>0.18632484809691813</c:v>
                </c:pt>
                <c:pt idx="2">
                  <c:v>0.67909113163820356</c:v>
                </c:pt>
                <c:pt idx="3">
                  <c:v>0.49818124424039645</c:v>
                </c:pt>
                <c:pt idx="4">
                  <c:v>1.4354673084158502</c:v>
                </c:pt>
                <c:pt idx="5">
                  <c:v>1.9454603434228552</c:v>
                </c:pt>
                <c:pt idx="6">
                  <c:v>1.1391207879930703</c:v>
                </c:pt>
                <c:pt idx="7">
                  <c:v>1.0081742792473996</c:v>
                </c:pt>
                <c:pt idx="8">
                  <c:v>0.13636146944478103</c:v>
                </c:pt>
                <c:pt idx="9">
                  <c:v>0.39997136268114292</c:v>
                </c:pt>
                <c:pt idx="10">
                  <c:v>1.5181673142544057</c:v>
                </c:pt>
                <c:pt idx="11">
                  <c:v>1.0736475336202349</c:v>
                </c:pt>
                <c:pt idx="12">
                  <c:v>0.21906147528333578</c:v>
                </c:pt>
                <c:pt idx="13">
                  <c:v>0.38274461121542463</c:v>
                </c:pt>
                <c:pt idx="14">
                  <c:v>2.028160349261408</c:v>
                </c:pt>
                <c:pt idx="15">
                  <c:v>2.915483034784728</c:v>
                </c:pt>
                <c:pt idx="16">
                  <c:v>1.9454603434228552</c:v>
                </c:pt>
                <c:pt idx="17">
                  <c:v>1.1890841666452083</c:v>
                </c:pt>
                <c:pt idx="18">
                  <c:v>1.6336039472793757</c:v>
                </c:pt>
                <c:pt idx="19">
                  <c:v>1.8300237103978827</c:v>
                </c:pt>
                <c:pt idx="20">
                  <c:v>0.87722777050172895</c:v>
                </c:pt>
                <c:pt idx="21">
                  <c:v>1.6163771958136579</c:v>
                </c:pt>
                <c:pt idx="22">
                  <c:v>1.5664138171615221</c:v>
                </c:pt>
                <c:pt idx="23">
                  <c:v>0.76179113747675653</c:v>
                </c:pt>
                <c:pt idx="24">
                  <c:v>1.0736475336202349</c:v>
                </c:pt>
                <c:pt idx="25">
                  <c:v>0.15358822091050045</c:v>
                </c:pt>
                <c:pt idx="26">
                  <c:v>1.0081742792473996</c:v>
                </c:pt>
                <c:pt idx="27">
                  <c:v>1.1563475394587901</c:v>
                </c:pt>
                <c:pt idx="28">
                  <c:v>0.94270102487456431</c:v>
                </c:pt>
                <c:pt idx="29">
                  <c:v>0.67909113163820356</c:v>
                </c:pt>
                <c:pt idx="30">
                  <c:v>0.43270798986756054</c:v>
                </c:pt>
                <c:pt idx="31">
                  <c:v>0.87722777050172895</c:v>
                </c:pt>
                <c:pt idx="32">
                  <c:v>2.4382266269641399</c:v>
                </c:pt>
                <c:pt idx="33">
                  <c:v>2.5536632599891123</c:v>
                </c:pt>
                <c:pt idx="34">
                  <c:v>0.39997136268114292</c:v>
                </c:pt>
                <c:pt idx="35">
                  <c:v>0.58088125007894997</c:v>
                </c:pt>
                <c:pt idx="36">
                  <c:v>1.0581376578995367</c:v>
                </c:pt>
                <c:pt idx="37">
                  <c:v>1.4682039356022674</c:v>
                </c:pt>
                <c:pt idx="38">
                  <c:v>0.35000798402900696</c:v>
                </c:pt>
                <c:pt idx="39">
                  <c:v>0.97543765206098132</c:v>
                </c:pt>
                <c:pt idx="40">
                  <c:v>1.2218207938316255</c:v>
                </c:pt>
                <c:pt idx="41">
                  <c:v>-1.1782542452469871</c:v>
                </c:pt>
                <c:pt idx="42">
                  <c:v>0.77730101319745715</c:v>
                </c:pt>
                <c:pt idx="43">
                  <c:v>1.2218207938316255</c:v>
                </c:pt>
                <c:pt idx="44">
                  <c:v>1.8300237103978827</c:v>
                </c:pt>
                <c:pt idx="45">
                  <c:v>0.21906147528333578</c:v>
                </c:pt>
                <c:pt idx="46">
                  <c:v>1.8300237103978827</c:v>
                </c:pt>
                <c:pt idx="47">
                  <c:v>0.71182775882462068</c:v>
                </c:pt>
                <c:pt idx="48">
                  <c:v>1.5509039414408228</c:v>
                </c:pt>
                <c:pt idx="49">
                  <c:v>0.79452776466317476</c:v>
                </c:pt>
                <c:pt idx="50">
                  <c:v>-7.3851293649405444E-2</c:v>
                </c:pt>
                <c:pt idx="51">
                  <c:v>0.12256846946910108</c:v>
                </c:pt>
                <c:pt idx="52">
                  <c:v>-0.25476118104721257</c:v>
                </c:pt>
                <c:pt idx="53">
                  <c:v>-1.5056205171111647</c:v>
                </c:pt>
                <c:pt idx="54">
                  <c:v>-0.7647542160542169</c:v>
                </c:pt>
                <c:pt idx="55">
                  <c:v>-0.50286119856287448</c:v>
                </c:pt>
                <c:pt idx="56">
                  <c:v>0.36895161123974352</c:v>
                </c:pt>
                <c:pt idx="57">
                  <c:v>-1.0955542394084328</c:v>
                </c:pt>
                <c:pt idx="58">
                  <c:v>-0.58384432865640967</c:v>
                </c:pt>
                <c:pt idx="59">
                  <c:v>-0.55282457721501033</c:v>
                </c:pt>
                <c:pt idx="60">
                  <c:v>-1.9828769249317508</c:v>
                </c:pt>
                <c:pt idx="61">
                  <c:v>-0.14104142376725962</c:v>
                </c:pt>
                <c:pt idx="62">
                  <c:v>-1.8829501676274778</c:v>
                </c:pt>
                <c:pt idx="63">
                  <c:v>-0.42016119272432084</c:v>
                </c:pt>
                <c:pt idx="64">
                  <c:v>-0.25647805679223201</c:v>
                </c:pt>
                <c:pt idx="65">
                  <c:v>-0.18928792667437666</c:v>
                </c:pt>
                <c:pt idx="66">
                  <c:v>-4.2831542208006057E-2</c:v>
                </c:pt>
                <c:pt idx="67">
                  <c:v>-0.7492443403335175</c:v>
                </c:pt>
                <c:pt idx="68">
                  <c:v>-1.9484234220003134</c:v>
                </c:pt>
                <c:pt idx="69">
                  <c:v>-1.1110641151291323</c:v>
                </c:pt>
                <c:pt idx="70">
                  <c:v>0.28625160540118993</c:v>
                </c:pt>
                <c:pt idx="71">
                  <c:v>-0.63380770730854563</c:v>
                </c:pt>
                <c:pt idx="72">
                  <c:v>-1.340220505434057</c:v>
                </c:pt>
                <c:pt idx="73">
                  <c:v>-0.63380770730854563</c:v>
                </c:pt>
                <c:pt idx="74">
                  <c:v>-0.51837107428357443</c:v>
                </c:pt>
                <c:pt idx="75">
                  <c:v>-0.37019781407218377</c:v>
                </c:pt>
                <c:pt idx="76">
                  <c:v>-0.86296409761347037</c:v>
                </c:pt>
                <c:pt idx="77">
                  <c:v>-0.40293444125860145</c:v>
                </c:pt>
                <c:pt idx="78">
                  <c:v>-0.38742456553790322</c:v>
                </c:pt>
                <c:pt idx="79">
                  <c:v>-0.93015422773132395</c:v>
                </c:pt>
                <c:pt idx="80">
                  <c:v>-1.2919740025269393</c:v>
                </c:pt>
                <c:pt idx="81">
                  <c:v>-1.2919740025269393</c:v>
                </c:pt>
                <c:pt idx="82">
                  <c:v>-0.7492443403335175</c:v>
                </c:pt>
                <c:pt idx="83">
                  <c:v>-0.81471759470635274</c:v>
                </c:pt>
                <c:pt idx="84">
                  <c:v>2.2641712164829252E-2</c:v>
                </c:pt>
                <c:pt idx="85">
                  <c:v>0.68080800738322189</c:v>
                </c:pt>
                <c:pt idx="86">
                  <c:v>-0.18928792667437666</c:v>
                </c:pt>
                <c:pt idx="87">
                  <c:v>-1.7675135346025066</c:v>
                </c:pt>
                <c:pt idx="88">
                  <c:v>-4.2831542208006057E-2</c:v>
                </c:pt>
                <c:pt idx="89">
                  <c:v>-1.0783274879427147</c:v>
                </c:pt>
                <c:pt idx="90">
                  <c:v>-0.8646809733584887</c:v>
                </c:pt>
                <c:pt idx="91">
                  <c:v>-0.20651467814009491</c:v>
                </c:pt>
                <c:pt idx="92">
                  <c:v>-0.96289085491774218</c:v>
                </c:pt>
                <c:pt idx="93">
                  <c:v>-1.3419373811790758</c:v>
                </c:pt>
                <c:pt idx="94">
                  <c:v>-0.68377108596068159</c:v>
                </c:pt>
                <c:pt idx="95">
                  <c:v>-7.556816939442372E-2</c:v>
                </c:pt>
                <c:pt idx="96">
                  <c:v>-0.28921468397864963</c:v>
                </c:pt>
                <c:pt idx="97">
                  <c:v>-0.45289781991073852</c:v>
                </c:pt>
                <c:pt idx="98">
                  <c:v>-0.94738097919704345</c:v>
                </c:pt>
                <c:pt idx="99">
                  <c:v>-0.50286119856287448</c:v>
                </c:pt>
                <c:pt idx="100">
                  <c:v>0.36895161123974352</c:v>
                </c:pt>
                <c:pt idx="101">
                  <c:v>-0.7492443403335175</c:v>
                </c:pt>
                <c:pt idx="102">
                  <c:v>-0.5338809500042726</c:v>
                </c:pt>
                <c:pt idx="103">
                  <c:v>-0.48563444709715675</c:v>
                </c:pt>
                <c:pt idx="104">
                  <c:v>-0.33746118688576615</c:v>
                </c:pt>
                <c:pt idx="105">
                  <c:v>-0.69756408593636154</c:v>
                </c:pt>
                <c:pt idx="106">
                  <c:v>-0.88190772482420809</c:v>
                </c:pt>
                <c:pt idx="107">
                  <c:v>-0.81300071896133452</c:v>
                </c:pt>
                <c:pt idx="108">
                  <c:v>-1.4711670141797277</c:v>
                </c:pt>
                <c:pt idx="109">
                  <c:v>0.71526151031465957</c:v>
                </c:pt>
                <c:pt idx="110">
                  <c:v>8.9831842282683427E-2</c:v>
                </c:pt>
                <c:pt idx="111">
                  <c:v>-0.94566410345202401</c:v>
                </c:pt>
                <c:pt idx="112">
                  <c:v>-0.43567106844501968</c:v>
                </c:pt>
                <c:pt idx="113">
                  <c:v>-1.1438007423155498</c:v>
                </c:pt>
                <c:pt idx="114">
                  <c:v>-0.53559782574929271</c:v>
                </c:pt>
                <c:pt idx="115">
                  <c:v>0.12256846946910108</c:v>
                </c:pt>
                <c:pt idx="116">
                  <c:v>-0.33746118688576615</c:v>
                </c:pt>
                <c:pt idx="117">
                  <c:v>0.9788714035510202</c:v>
                </c:pt>
                <c:pt idx="118">
                  <c:v>-1.5848867714596795</c:v>
                </c:pt>
                <c:pt idx="119">
                  <c:v>-1.8829501676274778</c:v>
                </c:pt>
                <c:pt idx="120">
                  <c:v>-4.1114666462987781E-2</c:v>
                </c:pt>
                <c:pt idx="121">
                  <c:v>-0.4701245713764568</c:v>
                </c:pt>
                <c:pt idx="122">
                  <c:v>-1.1575937422912299</c:v>
                </c:pt>
                <c:pt idx="123">
                  <c:v>-0.91292747626560633</c:v>
                </c:pt>
                <c:pt idx="124">
                  <c:v>0.23800510249407289</c:v>
                </c:pt>
                <c:pt idx="125">
                  <c:v>-0.13932454802224076</c:v>
                </c:pt>
                <c:pt idx="126">
                  <c:v>-0.66654433449496331</c:v>
                </c:pt>
                <c:pt idx="127">
                  <c:v>-0.20651467814009491</c:v>
                </c:pt>
                <c:pt idx="128">
                  <c:v>-0.73201758886779922</c:v>
                </c:pt>
                <c:pt idx="129">
                  <c:v>-0.56661757719069028</c:v>
                </c:pt>
                <c:pt idx="130">
                  <c:v>-1.059383860731977</c:v>
                </c:pt>
                <c:pt idx="131">
                  <c:v>0.91339814917818374</c:v>
                </c:pt>
                <c:pt idx="132">
                  <c:v>-0.73201758886779922</c:v>
                </c:pt>
                <c:pt idx="133">
                  <c:v>-0.69928096168138154</c:v>
                </c:pt>
                <c:pt idx="134">
                  <c:v>-1.0611007364769951</c:v>
                </c:pt>
                <c:pt idx="135">
                  <c:v>-0.73030071312277922</c:v>
                </c:pt>
                <c:pt idx="136">
                  <c:v>0.5825981258239683</c:v>
                </c:pt>
                <c:pt idx="137">
                  <c:v>-9.1078045115123699E-2</c:v>
                </c:pt>
                <c:pt idx="138">
                  <c:v>-0.17377805095367727</c:v>
                </c:pt>
                <c:pt idx="139">
                  <c:v>-0.25476118104721257</c:v>
                </c:pt>
                <c:pt idx="140">
                  <c:v>-0.18928792667437666</c:v>
                </c:pt>
                <c:pt idx="141">
                  <c:v>-0.25476118104721257</c:v>
                </c:pt>
                <c:pt idx="142">
                  <c:v>-0.7492443403335175</c:v>
                </c:pt>
                <c:pt idx="143">
                  <c:v>-8.3780392765701265E-3</c:v>
                </c:pt>
                <c:pt idx="144">
                  <c:v>0.23800510249407289</c:v>
                </c:pt>
                <c:pt idx="145">
                  <c:v>-0.40293444125860145</c:v>
                </c:pt>
                <c:pt idx="146">
                  <c:v>-1.340220505434057</c:v>
                </c:pt>
                <c:pt idx="147">
                  <c:v>-0.33746118688576615</c:v>
                </c:pt>
                <c:pt idx="148">
                  <c:v>0.61533475301038654</c:v>
                </c:pt>
                <c:pt idx="149">
                  <c:v>-0.14104142376725962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B-0D4E-98FF-01F81CAF0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77600"/>
        <c:axId val="583977152"/>
      </c:scatterChart>
      <c:valAx>
        <c:axId val="583977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3977152"/>
        <c:crosses val="autoZero"/>
        <c:crossBetween val="midCat"/>
      </c:valAx>
      <c:valAx>
        <c:axId val="58397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397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iris!$U$2</c:f>
              <c:strCache>
                <c:ptCount val="1"/>
                <c:pt idx="0">
                  <c:v>Gemessen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iris!$T$3:$T$152</c:f>
              <c:numCache>
                <c:formatCode>General</c:formatCode>
                <c:ptCount val="150"/>
                <c:pt idx="0">
                  <c:v>-1.2265281200366105</c:v>
                </c:pt>
                <c:pt idx="1">
                  <c:v>-1.6448536269514726</c:v>
                </c:pt>
                <c:pt idx="2">
                  <c:v>-1.0082523471706801</c:v>
                </c:pt>
                <c:pt idx="3">
                  <c:v>-0.78350037538977446</c:v>
                </c:pt>
                <c:pt idx="4">
                  <c:v>-0.92814312277405653</c:v>
                </c:pt>
                <c:pt idx="5">
                  <c:v>-0.55338471955567303</c:v>
                </c:pt>
                <c:pt idx="6">
                  <c:v>-0.47704042848944361</c:v>
                </c:pt>
                <c:pt idx="7">
                  <c:v>-1.0654625443443777</c:v>
                </c:pt>
                <c:pt idx="8">
                  <c:v>-0.82977383532890403</c:v>
                </c:pt>
                <c:pt idx="9">
                  <c:v>-1.8807936081512509</c:v>
                </c:pt>
                <c:pt idx="10">
                  <c:v>-1.4757910281791702</c:v>
                </c:pt>
                <c:pt idx="11">
                  <c:v>-0.65365619155083987</c:v>
                </c:pt>
                <c:pt idx="12">
                  <c:v>-1.9893129908833236</c:v>
                </c:pt>
                <c:pt idx="13">
                  <c:v>-1.1584837810112794</c:v>
                </c:pt>
                <c:pt idx="14">
                  <c:v>-2.7130518884727173</c:v>
                </c:pt>
                <c:pt idx="15">
                  <c:v>-0.59277262069791836</c:v>
                </c:pt>
                <c:pt idx="16">
                  <c:v>-0.73884684918521393</c:v>
                </c:pt>
                <c:pt idx="17">
                  <c:v>-0.90273479164386372</c:v>
                </c:pt>
                <c:pt idx="18">
                  <c:v>-1.300781274438926</c:v>
                </c:pt>
                <c:pt idx="19">
                  <c:v>-0.61281299101662734</c:v>
                </c:pt>
                <c:pt idx="20">
                  <c:v>-1.7907505531699293</c:v>
                </c:pt>
                <c:pt idx="21">
                  <c:v>-0.514837373499614</c:v>
                </c:pt>
                <c:pt idx="22">
                  <c:v>-0.7170660652139651</c:v>
                </c:pt>
                <c:pt idx="23">
                  <c:v>-0.49585034734745354</c:v>
                </c:pt>
                <c:pt idx="24">
                  <c:v>-0.53401185318210187</c:v>
                </c:pt>
                <c:pt idx="25">
                  <c:v>-1.5273795175235876</c:v>
                </c:pt>
                <c:pt idx="26">
                  <c:v>-0.57296754849546372</c:v>
                </c:pt>
                <c:pt idx="27">
                  <c:v>-1.3829941271006392</c:v>
                </c:pt>
                <c:pt idx="28">
                  <c:v>-1.7132494016280724</c:v>
                </c:pt>
                <c:pt idx="29">
                  <c:v>-0.69562027304633844</c:v>
                </c:pt>
                <c:pt idx="30">
                  <c:v>-0.95416525314619549</c:v>
                </c:pt>
                <c:pt idx="31">
                  <c:v>-1.1263911290388013</c:v>
                </c:pt>
                <c:pt idx="32">
                  <c:v>-0.87789629505122846</c:v>
                </c:pt>
                <c:pt idx="33">
                  <c:v>-1.0364333894937898</c:v>
                </c:pt>
                <c:pt idx="34">
                  <c:v>-1.3407550336902161</c:v>
                </c:pt>
                <c:pt idx="35">
                  <c:v>-2.128045234184984</c:v>
                </c:pt>
                <c:pt idx="36">
                  <c:v>-2.3263478740408408</c:v>
                </c:pt>
                <c:pt idx="37">
                  <c:v>-1.0954184989297102</c:v>
                </c:pt>
                <c:pt idx="38">
                  <c:v>-0.80642124701824058</c:v>
                </c:pt>
                <c:pt idx="39">
                  <c:v>-1.262784416294781</c:v>
                </c:pt>
                <c:pt idx="40">
                  <c:v>-0.85358795751157213</c:v>
                </c:pt>
                <c:pt idx="41">
                  <c:v>-1.5833867842263332</c:v>
                </c:pt>
                <c:pt idx="42">
                  <c:v>-0.63310256609493998</c:v>
                </c:pt>
                <c:pt idx="43">
                  <c:v>-0.43991316567323374</c:v>
                </c:pt>
                <c:pt idx="44">
                  <c:v>-0.45839780735990426</c:v>
                </c:pt>
                <c:pt idx="45">
                  <c:v>-0.98085010261434624</c:v>
                </c:pt>
                <c:pt idx="46">
                  <c:v>-0.67448975019608193</c:v>
                </c:pt>
                <c:pt idx="47">
                  <c:v>-0.76098392848895113</c:v>
                </c:pt>
                <c:pt idx="48">
                  <c:v>-1.1918161716813944</c:v>
                </c:pt>
                <c:pt idx="49">
                  <c:v>-1.4278559202758598</c:v>
                </c:pt>
                <c:pt idx="50">
                  <c:v>-0.12566134685507402</c:v>
                </c:pt>
                <c:pt idx="51">
                  <c:v>0.17637416478086121</c:v>
                </c:pt>
                <c:pt idx="52">
                  <c:v>2.506890825871106E-2</c:v>
                </c:pt>
                <c:pt idx="53">
                  <c:v>-4.178929781645381E-2</c:v>
                </c:pt>
                <c:pt idx="54">
                  <c:v>8.3555248042933294E-3</c:v>
                </c:pt>
                <c:pt idx="55">
                  <c:v>0.26198457630007294</c:v>
                </c:pt>
                <c:pt idx="56">
                  <c:v>0.40338276102740911</c:v>
                </c:pt>
                <c:pt idx="57">
                  <c:v>-0.24472849025792423</c:v>
                </c:pt>
                <c:pt idx="58">
                  <c:v>-0.2275449766411495</c:v>
                </c:pt>
                <c:pt idx="59">
                  <c:v>0.36738302291379804</c:v>
                </c:pt>
                <c:pt idx="60">
                  <c:v>-0.36738302291379804</c:v>
                </c:pt>
                <c:pt idx="61">
                  <c:v>0.29673783825989819</c:v>
                </c:pt>
                <c:pt idx="62">
                  <c:v>-0.42157763531715681</c:v>
                </c:pt>
                <c:pt idx="63">
                  <c:v>0.22754497664114934</c:v>
                </c:pt>
                <c:pt idx="64">
                  <c:v>-8.35552480429347E-3</c:v>
                </c:pt>
                <c:pt idx="65">
                  <c:v>-0.10883503703752988</c:v>
                </c:pt>
                <c:pt idx="66">
                  <c:v>0.514837373499614</c:v>
                </c:pt>
                <c:pt idx="67">
                  <c:v>-0.3142471516333209</c:v>
                </c:pt>
                <c:pt idx="68">
                  <c:v>-5.8521379455687417E-2</c:v>
                </c:pt>
                <c:pt idx="69">
                  <c:v>-0.26198457630007282</c:v>
                </c:pt>
                <c:pt idx="70">
                  <c:v>0.98085010261434624</c:v>
                </c:pt>
                <c:pt idx="71">
                  <c:v>-0.15942590162832465</c:v>
                </c:pt>
                <c:pt idx="72">
                  <c:v>0.12566134685507416</c:v>
                </c:pt>
                <c:pt idx="73">
                  <c:v>-2.506890825871106E-2</c:v>
                </c:pt>
                <c:pt idx="74">
                  <c:v>-0.21042839424792467</c:v>
                </c:pt>
                <c:pt idx="75">
                  <c:v>-9.2039486959116901E-2</c:v>
                </c:pt>
                <c:pt idx="76">
                  <c:v>-0.14252331243751357</c:v>
                </c:pt>
                <c:pt idx="77">
                  <c:v>0.34956302147213458</c:v>
                </c:pt>
                <c:pt idx="78">
                  <c:v>0.31424715163332073</c:v>
                </c:pt>
                <c:pt idx="79">
                  <c:v>-0.40338276102740922</c:v>
                </c:pt>
                <c:pt idx="80">
                  <c:v>-0.27931903444745415</c:v>
                </c:pt>
                <c:pt idx="81">
                  <c:v>-0.38532046640756784</c:v>
                </c:pt>
                <c:pt idx="82">
                  <c:v>-0.17637416478086138</c:v>
                </c:pt>
                <c:pt idx="83">
                  <c:v>0.49585034734745331</c:v>
                </c:pt>
                <c:pt idx="84">
                  <c:v>0.63310256609493998</c:v>
                </c:pt>
                <c:pt idx="85">
                  <c:v>0.57296754849546372</c:v>
                </c:pt>
                <c:pt idx="86">
                  <c:v>5.8521379455687417E-2</c:v>
                </c:pt>
                <c:pt idx="87">
                  <c:v>-0.34956302147213442</c:v>
                </c:pt>
                <c:pt idx="88">
                  <c:v>0.21042839424792484</c:v>
                </c:pt>
                <c:pt idx="89">
                  <c:v>4.1789297816453949E-2</c:v>
                </c:pt>
                <c:pt idx="90">
                  <c:v>0.10883503703752988</c:v>
                </c:pt>
                <c:pt idx="91">
                  <c:v>0.24472849025792423</c:v>
                </c:pt>
                <c:pt idx="92">
                  <c:v>-0.1933732458926043</c:v>
                </c:pt>
                <c:pt idx="93">
                  <c:v>-0.33185334643681658</c:v>
                </c:pt>
                <c:pt idx="94">
                  <c:v>0.14252331243751357</c:v>
                </c:pt>
                <c:pt idx="95">
                  <c:v>9.2039486959116748E-2</c:v>
                </c:pt>
                <c:pt idx="96">
                  <c:v>0.15942590162832465</c:v>
                </c:pt>
                <c:pt idx="97">
                  <c:v>-7.5269862099829901E-2</c:v>
                </c:pt>
                <c:pt idx="98">
                  <c:v>-0.29673783825989802</c:v>
                </c:pt>
                <c:pt idx="99">
                  <c:v>7.5269862099829901E-2</c:v>
                </c:pt>
                <c:pt idx="100">
                  <c:v>2.7130518884727204</c:v>
                </c:pt>
                <c:pt idx="101">
                  <c:v>1.1422903927149712</c:v>
                </c:pt>
                <c:pt idx="102">
                  <c:v>0.90273479164386372</c:v>
                </c:pt>
                <c:pt idx="103">
                  <c:v>0.87789629505122857</c:v>
                </c:pt>
                <c:pt idx="104">
                  <c:v>1.5273795175235878</c:v>
                </c:pt>
                <c:pt idx="105">
                  <c:v>0.82977383532890403</c:v>
                </c:pt>
                <c:pt idx="106">
                  <c:v>1.09541849892971</c:v>
                </c:pt>
                <c:pt idx="107">
                  <c:v>0.47704042848944361</c:v>
                </c:pt>
                <c:pt idx="108">
                  <c:v>0.45839780735990404</c:v>
                </c:pt>
                <c:pt idx="109">
                  <c:v>1.8807936081512504</c:v>
                </c:pt>
                <c:pt idx="110">
                  <c:v>0.92814312277405653</c:v>
                </c:pt>
                <c:pt idx="111">
                  <c:v>0.65365619155083965</c:v>
                </c:pt>
                <c:pt idx="112">
                  <c:v>0.95416525314619549</c:v>
                </c:pt>
                <c:pt idx="113">
                  <c:v>1.1918161716813944</c:v>
                </c:pt>
                <c:pt idx="114">
                  <c:v>1.7907505531699297</c:v>
                </c:pt>
                <c:pt idx="115">
                  <c:v>1.6448536269514715</c:v>
                </c:pt>
                <c:pt idx="116">
                  <c:v>0.67448975019608193</c:v>
                </c:pt>
                <c:pt idx="117">
                  <c:v>1.4757910281791713</c:v>
                </c:pt>
                <c:pt idx="118">
                  <c:v>1.0654625443443777</c:v>
                </c:pt>
                <c:pt idx="119">
                  <c:v>0.1933732458926043</c:v>
                </c:pt>
                <c:pt idx="120">
                  <c:v>1.4278559202758598</c:v>
                </c:pt>
                <c:pt idx="121">
                  <c:v>1.3407550336902161</c:v>
                </c:pt>
                <c:pt idx="122">
                  <c:v>0.61281299101662734</c:v>
                </c:pt>
                <c:pt idx="123">
                  <c:v>0.43991316567323396</c:v>
                </c:pt>
                <c:pt idx="124">
                  <c:v>1.300781274438926</c:v>
                </c:pt>
                <c:pt idx="125">
                  <c:v>0.59277262069791847</c:v>
                </c:pt>
                <c:pt idx="126">
                  <c:v>0.53401185318210209</c:v>
                </c:pt>
                <c:pt idx="127">
                  <c:v>0.69562027304633833</c:v>
                </c:pt>
                <c:pt idx="128">
                  <c:v>1.2627844162947799</c:v>
                </c:pt>
                <c:pt idx="129">
                  <c:v>0.27931903444745415</c:v>
                </c:pt>
                <c:pt idx="130">
                  <c:v>0.42157763531715681</c:v>
                </c:pt>
                <c:pt idx="131">
                  <c:v>0.76098392848895102</c:v>
                </c:pt>
                <c:pt idx="132">
                  <c:v>1.3829941271006372</c:v>
                </c:pt>
                <c:pt idx="133">
                  <c:v>0.33185334643681658</c:v>
                </c:pt>
                <c:pt idx="134">
                  <c:v>0.38532046640756784</c:v>
                </c:pt>
                <c:pt idx="135">
                  <c:v>0.73884684918521393</c:v>
                </c:pt>
                <c:pt idx="136">
                  <c:v>2.3263478740408408</c:v>
                </c:pt>
                <c:pt idx="137">
                  <c:v>0.80642124701824058</c:v>
                </c:pt>
                <c:pt idx="138">
                  <c:v>0.7170660652139651</c:v>
                </c:pt>
                <c:pt idx="139">
                  <c:v>0.78350037538977446</c:v>
                </c:pt>
                <c:pt idx="140">
                  <c:v>1.7132494016280724</c:v>
                </c:pt>
                <c:pt idx="141">
                  <c:v>1.0082523471706792</c:v>
                </c:pt>
                <c:pt idx="142">
                  <c:v>1.1422903927149712</c:v>
                </c:pt>
                <c:pt idx="143">
                  <c:v>1.5833867842263332</c:v>
                </c:pt>
                <c:pt idx="144">
                  <c:v>1.9893129908833236</c:v>
                </c:pt>
                <c:pt idx="145">
                  <c:v>1.2265281200366105</c:v>
                </c:pt>
                <c:pt idx="146">
                  <c:v>0.5533847195556727</c:v>
                </c:pt>
                <c:pt idx="147">
                  <c:v>0.85358795751157213</c:v>
                </c:pt>
                <c:pt idx="148">
                  <c:v>2.128045234184984</c:v>
                </c:pt>
                <c:pt idx="149">
                  <c:v>1.0364333894937898</c:v>
                </c:pt>
              </c:numCache>
            </c:numRef>
          </c:xVal>
          <c:yVal>
            <c:numRef>
              <c:f>iris!$U$3:$U$152</c:f>
              <c:numCache>
                <c:formatCode>General</c:formatCode>
                <c:ptCount val="150"/>
                <c:pt idx="0">
                  <c:v>-1.3260324305494615</c:v>
                </c:pt>
                <c:pt idx="1">
                  <c:v>-1.4139152128708929</c:v>
                </c:pt>
                <c:pt idx="2">
                  <c:v>-1.2565654751553985</c:v>
                </c:pt>
                <c:pt idx="3">
                  <c:v>-1.1660170544049</c:v>
                </c:pt>
                <c:pt idx="4">
                  <c:v>-1.2288549841651628</c:v>
                </c:pt>
                <c:pt idx="5">
                  <c:v>-1.0132558407022343</c:v>
                </c:pt>
                <c:pt idx="6">
                  <c:v>-0.97653531147259975</c:v>
                </c:pt>
                <c:pt idx="7">
                  <c:v>-1.2724891648520673</c:v>
                </c:pt>
                <c:pt idx="8">
                  <c:v>-1.1699459881694232</c:v>
                </c:pt>
                <c:pt idx="9">
                  <c:v>-1.442118284323177</c:v>
                </c:pt>
                <c:pt idx="10">
                  <c:v>-1.378961275299234</c:v>
                </c:pt>
                <c:pt idx="11">
                  <c:v>-1.1217684527703737</c:v>
                </c:pt>
                <c:pt idx="12">
                  <c:v>-1.4625853287319899</c:v>
                </c:pt>
                <c:pt idx="13">
                  <c:v>-1.2893119013198269</c:v>
                </c:pt>
                <c:pt idx="14">
                  <c:v>-1.5964488509057122</c:v>
                </c:pt>
                <c:pt idx="15">
                  <c:v>-1.0562411470013053</c:v>
                </c:pt>
                <c:pt idx="16">
                  <c:v>-1.1612764609146493</c:v>
                </c:pt>
                <c:pt idx="17">
                  <c:v>-1.2205045361740694</c:v>
                </c:pt>
                <c:pt idx="18">
                  <c:v>-1.3296767384905153</c:v>
                </c:pt>
                <c:pt idx="19">
                  <c:v>-1.0625403775109536</c:v>
                </c:pt>
                <c:pt idx="20">
                  <c:v>-1.4259099688030392</c:v>
                </c:pt>
                <c:pt idx="21">
                  <c:v>-0.99733215100556505</c:v>
                </c:pt>
                <c:pt idx="22">
                  <c:v>-1.1494444903203984</c:v>
                </c:pt>
                <c:pt idx="23">
                  <c:v>-0.97907261800398226</c:v>
                </c:pt>
                <c:pt idx="24">
                  <c:v>-1.0107529876110626</c:v>
                </c:pt>
                <c:pt idx="25">
                  <c:v>-1.3967626812789797</c:v>
                </c:pt>
                <c:pt idx="26">
                  <c:v>-1.0244282210481794</c:v>
                </c:pt>
                <c:pt idx="27">
                  <c:v>-1.3458850540106528</c:v>
                </c:pt>
                <c:pt idx="28">
                  <c:v>-1.4232098769337609</c:v>
                </c:pt>
                <c:pt idx="29">
                  <c:v>-1.1455500099960874</c:v>
                </c:pt>
                <c:pt idx="30">
                  <c:v>-1.2427274563803861</c:v>
                </c:pt>
                <c:pt idx="31">
                  <c:v>-1.2888644901584625</c:v>
                </c:pt>
                <c:pt idx="32">
                  <c:v>-1.2094949411660201</c:v>
                </c:pt>
                <c:pt idx="33">
                  <c:v>-1.2712258695166121</c:v>
                </c:pt>
                <c:pt idx="34">
                  <c:v>-1.3365903899477849</c:v>
                </c:pt>
                <c:pt idx="35">
                  <c:v>-1.4641439657513868</c:v>
                </c:pt>
                <c:pt idx="36">
                  <c:v>-1.5904686996597448</c:v>
                </c:pt>
                <c:pt idx="37">
                  <c:v>-1.2775251000262604</c:v>
                </c:pt>
                <c:pt idx="38">
                  <c:v>-1.1666314753525224</c:v>
                </c:pt>
                <c:pt idx="39">
                  <c:v>-1.3293469433663618</c:v>
                </c:pt>
                <c:pt idx="40">
                  <c:v>-1.2006519127128785</c:v>
                </c:pt>
                <c:pt idx="41">
                  <c:v>-1.4001990345814541</c:v>
                </c:pt>
                <c:pt idx="42">
                  <c:v>-1.0859921396125143</c:v>
                </c:pt>
                <c:pt idx="43">
                  <c:v>-0.77305276442739124</c:v>
                </c:pt>
                <c:pt idx="44">
                  <c:v>-0.80899186292314651</c:v>
                </c:pt>
                <c:pt idx="45">
                  <c:v>-1.2515295399812056</c:v>
                </c:pt>
                <c:pt idx="46">
                  <c:v>-1.1310631168332419</c:v>
                </c:pt>
                <c:pt idx="47">
                  <c:v>-1.1627025415879999</c:v>
                </c:pt>
                <c:pt idx="48">
                  <c:v>-1.322103496784939</c:v>
                </c:pt>
                <c:pt idx="49">
                  <c:v>-1.3498139877751754</c:v>
                </c:pt>
                <c:pt idx="50">
                  <c:v>-3.9784376673946804E-2</c:v>
                </c:pt>
                <c:pt idx="51">
                  <c:v>0.33287987868100616</c:v>
                </c:pt>
                <c:pt idx="52">
                  <c:v>0.15629193845194353</c:v>
                </c:pt>
                <c:pt idx="53">
                  <c:v>8.5641310463319686E-2</c:v>
                </c:pt>
                <c:pt idx="54">
                  <c:v>0.15174858373979955</c:v>
                </c:pt>
                <c:pt idx="55">
                  <c:v>0.35854986805026895</c:v>
                </c:pt>
                <c:pt idx="56">
                  <c:v>0.60959552954690499</c:v>
                </c:pt>
                <c:pt idx="57">
                  <c:v>-0.10851211907880981</c:v>
                </c:pt>
                <c:pt idx="58">
                  <c:v>-7.5845315655276149E-2</c:v>
                </c:pt>
                <c:pt idx="59">
                  <c:v>0.48601605680850879</c:v>
                </c:pt>
                <c:pt idx="60">
                  <c:v>-0.25263825896691366</c:v>
                </c:pt>
                <c:pt idx="61">
                  <c:v>0.4255139703531613</c:v>
                </c:pt>
                <c:pt idx="62">
                  <c:v>-0.55555093310433434</c:v>
                </c:pt>
                <c:pt idx="63">
                  <c:v>0.3509766263446944</c:v>
                </c:pt>
                <c:pt idx="64">
                  <c:v>0.12268091895663497</c:v>
                </c:pt>
                <c:pt idx="65">
                  <c:v>-2.0546174160377278E-2</c:v>
                </c:pt>
                <c:pt idx="66">
                  <c:v>0.70710277105535679</c:v>
                </c:pt>
                <c:pt idx="67">
                  <c:v>-0.2032318816726201</c:v>
                </c:pt>
                <c:pt idx="68">
                  <c:v>4.3398757009555269E-2</c:v>
                </c:pt>
                <c:pt idx="69">
                  <c:v>-0.13863807611485468</c:v>
                </c:pt>
                <c:pt idx="70">
                  <c:v>1.0447679195379673</c:v>
                </c:pt>
                <c:pt idx="71">
                  <c:v>-5.3907021272428128E-2</c:v>
                </c:pt>
                <c:pt idx="72">
                  <c:v>0.25552060231768831</c:v>
                </c:pt>
                <c:pt idx="73">
                  <c:v>9.9601169723905716E-2</c:v>
                </c:pt>
                <c:pt idx="74">
                  <c:v>-7.3145223785997665E-2</c:v>
                </c:pt>
                <c:pt idx="75">
                  <c:v>-4.0080635160867351E-3</c:v>
                </c:pt>
                <c:pt idx="76">
                  <c:v>-5.0342336072269595E-2</c:v>
                </c:pt>
                <c:pt idx="77">
                  <c:v>0.47774877141441657</c:v>
                </c:pt>
                <c:pt idx="78">
                  <c:v>0.43935198912817386</c:v>
                </c:pt>
                <c:pt idx="79">
                  <c:v>-0.40872470134695199</c:v>
                </c:pt>
                <c:pt idx="80">
                  <c:v>-0.15910512052366788</c:v>
                </c:pt>
                <c:pt idx="81">
                  <c:v>-0.30163816995216347</c:v>
                </c:pt>
                <c:pt idx="82">
                  <c:v>-6.6186403028043447E-2</c:v>
                </c:pt>
                <c:pt idx="83">
                  <c:v>0.68627147808217992</c:v>
                </c:pt>
                <c:pt idx="84">
                  <c:v>0.82081832808394595</c:v>
                </c:pt>
                <c:pt idx="85">
                  <c:v>0.74647822285358589</c:v>
                </c:pt>
                <c:pt idx="86">
                  <c:v>0.19599718537432576</c:v>
                </c:pt>
                <c:pt idx="87">
                  <c:v>-0.22120029743862316</c:v>
                </c:pt>
                <c:pt idx="88">
                  <c:v>0.3480263620921582</c:v>
                </c:pt>
                <c:pt idx="89">
                  <c:v>0.1662806462033278</c:v>
                </c:pt>
                <c:pt idx="90">
                  <c:v>0.2490930399103555</c:v>
                </c:pt>
                <c:pt idx="91">
                  <c:v>0.35429113916159471</c:v>
                </c:pt>
                <c:pt idx="92">
                  <c:v>-6.9500915844943764E-2</c:v>
                </c:pt>
                <c:pt idx="93">
                  <c:v>-0.20568956546310846</c:v>
                </c:pt>
                <c:pt idx="94">
                  <c:v>0.2640725135352488</c:v>
                </c:pt>
                <c:pt idx="95">
                  <c:v>0.22264584425557454</c:v>
                </c:pt>
                <c:pt idx="96">
                  <c:v>0.28785407076096181</c:v>
                </c:pt>
                <c:pt idx="97">
                  <c:v>4.0570333242592044E-2</c:v>
                </c:pt>
                <c:pt idx="98">
                  <c:v>-0.18739557902131385</c:v>
                </c:pt>
                <c:pt idx="99">
                  <c:v>0.21052924783785401</c:v>
                </c:pt>
                <c:pt idx="100">
                  <c:v>2.0404135946157824</c:v>
                </c:pt>
                <c:pt idx="101">
                  <c:v>1.1165707182369462</c:v>
                </c:pt>
                <c:pt idx="102">
                  <c:v>1.00547563033674</c:v>
                </c:pt>
                <c:pt idx="103">
                  <c:v>0.99241904229560562</c:v>
                </c:pt>
                <c:pt idx="104">
                  <c:v>1.4151450407447972</c:v>
                </c:pt>
                <c:pt idx="105">
                  <c:v>0.98022282313699172</c:v>
                </c:pt>
                <c:pt idx="106">
                  <c:v>1.1145646700561838</c:v>
                </c:pt>
                <c:pt idx="107">
                  <c:v>0.68287734252438526</c:v>
                </c:pt>
                <c:pt idx="108">
                  <c:v>0.67771956686461843</c:v>
                </c:pt>
                <c:pt idx="109">
                  <c:v>1.686657746650245</c:v>
                </c:pt>
                <c:pt idx="110">
                  <c:v>1.0256925023622949</c:v>
                </c:pt>
                <c:pt idx="111">
                  <c:v>0.84943435725738448</c:v>
                </c:pt>
                <c:pt idx="112">
                  <c:v>1.0280283456672095</c:v>
                </c:pt>
                <c:pt idx="113">
                  <c:v>1.1613119003335202</c:v>
                </c:pt>
                <c:pt idx="114">
                  <c:v>1.6845298579839099</c:v>
                </c:pt>
                <c:pt idx="115">
                  <c:v>1.4731442741089726</c:v>
                </c:pt>
                <c:pt idx="116">
                  <c:v>0.88201799808391723</c:v>
                </c:pt>
                <c:pt idx="117">
                  <c:v>1.3884554370112261</c:v>
                </c:pt>
                <c:pt idx="118">
                  <c:v>1.0841576270527757</c:v>
                </c:pt>
                <c:pt idx="119">
                  <c:v>0.34214008930366319</c:v>
                </c:pt>
                <c:pt idx="120">
                  <c:v>1.3368760017499146</c:v>
                </c:pt>
                <c:pt idx="121">
                  <c:v>1.3021235274047238</c:v>
                </c:pt>
                <c:pt idx="122">
                  <c:v>0.77420296956040091</c:v>
                </c:pt>
                <c:pt idx="123">
                  <c:v>0.6527436211838723</c:v>
                </c:pt>
                <c:pt idx="124">
                  <c:v>1.2798554378977232</c:v>
                </c:pt>
                <c:pt idx="125">
                  <c:v>0.74967865948937984</c:v>
                </c:pt>
                <c:pt idx="126">
                  <c:v>0.71291591251506725</c:v>
                </c:pt>
                <c:pt idx="127">
                  <c:v>0.88741818182247523</c:v>
                </c:pt>
                <c:pt idx="128">
                  <c:v>1.2118252790374835</c:v>
                </c:pt>
                <c:pt idx="129">
                  <c:v>0.38397322489238067</c:v>
                </c:pt>
                <c:pt idx="130">
                  <c:v>0.61721748040926994</c:v>
                </c:pt>
                <c:pt idx="131">
                  <c:v>0.9526686260725401</c:v>
                </c:pt>
                <c:pt idx="132">
                  <c:v>1.3173531734128763</c:v>
                </c:pt>
                <c:pt idx="133">
                  <c:v>0.45048991603390742</c:v>
                </c:pt>
                <c:pt idx="134">
                  <c:v>0.56306401821261587</c:v>
                </c:pt>
                <c:pt idx="135">
                  <c:v>0.9493950581079621</c:v>
                </c:pt>
                <c:pt idx="136">
                  <c:v>1.8271847478979792</c:v>
                </c:pt>
                <c:pt idx="137">
                  <c:v>0.97919544446821538</c:v>
                </c:pt>
                <c:pt idx="138">
                  <c:v>0.90727080528366555</c:v>
                </c:pt>
                <c:pt idx="139">
                  <c:v>0.97448507996981459</c:v>
                </c:pt>
                <c:pt idx="140">
                  <c:v>1.4787946302307882</c:v>
                </c:pt>
                <c:pt idx="141">
                  <c:v>1.0745254035612875</c:v>
                </c:pt>
                <c:pt idx="142">
                  <c:v>1.1165707182369462</c:v>
                </c:pt>
                <c:pt idx="143">
                  <c:v>1.4677440903704162</c:v>
                </c:pt>
                <c:pt idx="144">
                  <c:v>1.7019670153992914</c:v>
                </c:pt>
                <c:pt idx="145">
                  <c:v>1.184926447772976</c:v>
                </c:pt>
                <c:pt idx="146">
                  <c:v>0.71463733487235981</c:v>
                </c:pt>
                <c:pt idx="147">
                  <c:v>0.9820583216753902</c:v>
                </c:pt>
                <c:pt idx="148">
                  <c:v>1.7045043219306746</c:v>
                </c:pt>
                <c:pt idx="149">
                  <c:v>1.0751440489572708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48-9F4C-B81F-96C3E69F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0048256"/>
        <c:axId val="450050048"/>
      </c:scatterChart>
      <c:valAx>
        <c:axId val="45004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0050048"/>
        <c:crosses val="autoZero"/>
        <c:crossBetween val="midCat"/>
      </c:valAx>
      <c:valAx>
        <c:axId val="45005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004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iris!$B$2:$B$51</c:f>
              <c:numCache>
                <c:formatCode>General</c:formatCode>
                <c:ptCount val="50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  <c:pt idx="5">
                  <c:v>3.9</c:v>
                </c:pt>
                <c:pt idx="6">
                  <c:v>3.4</c:v>
                </c:pt>
                <c:pt idx="7">
                  <c:v>3.4</c:v>
                </c:pt>
                <c:pt idx="8">
                  <c:v>2.9</c:v>
                </c:pt>
                <c:pt idx="9">
                  <c:v>3.1</c:v>
                </c:pt>
                <c:pt idx="10">
                  <c:v>3.7</c:v>
                </c:pt>
                <c:pt idx="11">
                  <c:v>3.4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4.4000000000000004</c:v>
                </c:pt>
                <c:pt idx="16">
                  <c:v>3.9</c:v>
                </c:pt>
                <c:pt idx="17">
                  <c:v>3.5</c:v>
                </c:pt>
                <c:pt idx="18">
                  <c:v>3.8</c:v>
                </c:pt>
                <c:pt idx="19">
                  <c:v>3.8</c:v>
                </c:pt>
                <c:pt idx="20">
                  <c:v>3.4</c:v>
                </c:pt>
                <c:pt idx="21">
                  <c:v>3.7</c:v>
                </c:pt>
                <c:pt idx="22">
                  <c:v>3.6</c:v>
                </c:pt>
                <c:pt idx="23">
                  <c:v>3.3</c:v>
                </c:pt>
                <c:pt idx="24">
                  <c:v>3.4</c:v>
                </c:pt>
                <c:pt idx="25">
                  <c:v>3</c:v>
                </c:pt>
                <c:pt idx="26">
                  <c:v>3.4</c:v>
                </c:pt>
                <c:pt idx="27">
                  <c:v>3.5</c:v>
                </c:pt>
                <c:pt idx="28">
                  <c:v>3.4</c:v>
                </c:pt>
                <c:pt idx="29">
                  <c:v>3.2</c:v>
                </c:pt>
                <c:pt idx="30">
                  <c:v>3.1</c:v>
                </c:pt>
                <c:pt idx="31">
                  <c:v>3.4</c:v>
                </c:pt>
                <c:pt idx="32">
                  <c:v>4.0999999999999996</c:v>
                </c:pt>
                <c:pt idx="33">
                  <c:v>4.2</c:v>
                </c:pt>
                <c:pt idx="34">
                  <c:v>3.1</c:v>
                </c:pt>
                <c:pt idx="35">
                  <c:v>3.2</c:v>
                </c:pt>
                <c:pt idx="36">
                  <c:v>3.5</c:v>
                </c:pt>
                <c:pt idx="37">
                  <c:v>3.6</c:v>
                </c:pt>
                <c:pt idx="38">
                  <c:v>3</c:v>
                </c:pt>
                <c:pt idx="39">
                  <c:v>3.4</c:v>
                </c:pt>
                <c:pt idx="40">
                  <c:v>3.5</c:v>
                </c:pt>
                <c:pt idx="41">
                  <c:v>2.2999999999999998</c:v>
                </c:pt>
                <c:pt idx="42">
                  <c:v>3.2</c:v>
                </c:pt>
                <c:pt idx="43">
                  <c:v>3.5</c:v>
                </c:pt>
                <c:pt idx="44">
                  <c:v>3.8</c:v>
                </c:pt>
                <c:pt idx="45">
                  <c:v>3</c:v>
                </c:pt>
                <c:pt idx="46">
                  <c:v>3.8</c:v>
                </c:pt>
                <c:pt idx="47">
                  <c:v>3.2</c:v>
                </c:pt>
                <c:pt idx="48">
                  <c:v>3.7</c:v>
                </c:pt>
                <c:pt idx="49">
                  <c:v>3.3</c:v>
                </c:pt>
              </c:numCache>
            </c:numRef>
          </c:xVal>
          <c:yVal>
            <c:numRef>
              <c:f>iris!$A$2:$A$51</c:f>
              <c:numCache>
                <c:formatCode>General</c:formatCode>
                <c:ptCount val="50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  <c:pt idx="5">
                  <c:v>5.4</c:v>
                </c:pt>
                <c:pt idx="6">
                  <c:v>4.5999999999999996</c:v>
                </c:pt>
                <c:pt idx="7">
                  <c:v>5</c:v>
                </c:pt>
                <c:pt idx="8">
                  <c:v>4.4000000000000004</c:v>
                </c:pt>
                <c:pt idx="9">
                  <c:v>4.9000000000000004</c:v>
                </c:pt>
                <c:pt idx="10">
                  <c:v>5.4</c:v>
                </c:pt>
                <c:pt idx="11">
                  <c:v>4.8</c:v>
                </c:pt>
                <c:pt idx="12">
                  <c:v>4.8</c:v>
                </c:pt>
                <c:pt idx="13">
                  <c:v>4.3</c:v>
                </c:pt>
                <c:pt idx="14">
                  <c:v>5.8</c:v>
                </c:pt>
                <c:pt idx="15">
                  <c:v>5.7</c:v>
                </c:pt>
                <c:pt idx="16">
                  <c:v>5.4</c:v>
                </c:pt>
                <c:pt idx="17">
                  <c:v>5.0999999999999996</c:v>
                </c:pt>
                <c:pt idx="18">
                  <c:v>5.7</c:v>
                </c:pt>
                <c:pt idx="19">
                  <c:v>5.0999999999999996</c:v>
                </c:pt>
                <c:pt idx="20">
                  <c:v>5.4</c:v>
                </c:pt>
                <c:pt idx="21">
                  <c:v>5.0999999999999996</c:v>
                </c:pt>
                <c:pt idx="22">
                  <c:v>4.5999999999999996</c:v>
                </c:pt>
                <c:pt idx="23">
                  <c:v>5.0999999999999996</c:v>
                </c:pt>
                <c:pt idx="24">
                  <c:v>4.8</c:v>
                </c:pt>
                <c:pt idx="25">
                  <c:v>5</c:v>
                </c:pt>
                <c:pt idx="26">
                  <c:v>5</c:v>
                </c:pt>
                <c:pt idx="27">
                  <c:v>5.2</c:v>
                </c:pt>
                <c:pt idx="28">
                  <c:v>5.2</c:v>
                </c:pt>
                <c:pt idx="29">
                  <c:v>4.7</c:v>
                </c:pt>
                <c:pt idx="30">
                  <c:v>4.8</c:v>
                </c:pt>
                <c:pt idx="31">
                  <c:v>5.4</c:v>
                </c:pt>
                <c:pt idx="32">
                  <c:v>5.2</c:v>
                </c:pt>
                <c:pt idx="33">
                  <c:v>5.5</c:v>
                </c:pt>
                <c:pt idx="34">
                  <c:v>4.9000000000000004</c:v>
                </c:pt>
                <c:pt idx="35">
                  <c:v>5</c:v>
                </c:pt>
                <c:pt idx="36">
                  <c:v>5.5</c:v>
                </c:pt>
                <c:pt idx="37">
                  <c:v>4.9000000000000004</c:v>
                </c:pt>
                <c:pt idx="38">
                  <c:v>4.4000000000000004</c:v>
                </c:pt>
                <c:pt idx="39">
                  <c:v>5.0999999999999996</c:v>
                </c:pt>
                <c:pt idx="40">
                  <c:v>5</c:v>
                </c:pt>
                <c:pt idx="41">
                  <c:v>4.5</c:v>
                </c:pt>
                <c:pt idx="42">
                  <c:v>4.4000000000000004</c:v>
                </c:pt>
                <c:pt idx="43">
                  <c:v>5</c:v>
                </c:pt>
                <c:pt idx="44">
                  <c:v>5.0999999999999996</c:v>
                </c:pt>
                <c:pt idx="45">
                  <c:v>4.8</c:v>
                </c:pt>
                <c:pt idx="46">
                  <c:v>5.0999999999999996</c:v>
                </c:pt>
                <c:pt idx="47">
                  <c:v>4.5999999999999996</c:v>
                </c:pt>
                <c:pt idx="48">
                  <c:v>5.3</c:v>
                </c:pt>
                <c:pt idx="4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A-7648-9FF1-583F2D9CF3D3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iris!$B$52:$B$101</c:f>
              <c:numCache>
                <c:formatCode>General</c:formatCode>
                <c:ptCount val="50"/>
                <c:pt idx="0">
                  <c:v>3.2</c:v>
                </c:pt>
                <c:pt idx="1">
                  <c:v>3.2</c:v>
                </c:pt>
                <c:pt idx="2">
                  <c:v>3.1</c:v>
                </c:pt>
                <c:pt idx="3">
                  <c:v>2.2999999999999998</c:v>
                </c:pt>
                <c:pt idx="4">
                  <c:v>2.8</c:v>
                </c:pt>
                <c:pt idx="5">
                  <c:v>2.8</c:v>
                </c:pt>
                <c:pt idx="6">
                  <c:v>3.3</c:v>
                </c:pt>
                <c:pt idx="7">
                  <c:v>2.4</c:v>
                </c:pt>
                <c:pt idx="8">
                  <c:v>2.9</c:v>
                </c:pt>
                <c:pt idx="9">
                  <c:v>2.7</c:v>
                </c:pt>
                <c:pt idx="10">
                  <c:v>2</c:v>
                </c:pt>
                <c:pt idx="11">
                  <c:v>3</c:v>
                </c:pt>
                <c:pt idx="12">
                  <c:v>2.2000000000000002</c:v>
                </c:pt>
                <c:pt idx="13">
                  <c:v>2.9</c:v>
                </c:pt>
                <c:pt idx="14">
                  <c:v>2.9</c:v>
                </c:pt>
                <c:pt idx="15">
                  <c:v>3.1</c:v>
                </c:pt>
                <c:pt idx="16">
                  <c:v>3</c:v>
                </c:pt>
                <c:pt idx="17">
                  <c:v>2.7</c:v>
                </c:pt>
                <c:pt idx="18">
                  <c:v>2.2000000000000002</c:v>
                </c:pt>
                <c:pt idx="19">
                  <c:v>2.5</c:v>
                </c:pt>
                <c:pt idx="20">
                  <c:v>3.2</c:v>
                </c:pt>
                <c:pt idx="21">
                  <c:v>2.8</c:v>
                </c:pt>
                <c:pt idx="22">
                  <c:v>2.5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2.8</c:v>
                </c:pt>
                <c:pt idx="27">
                  <c:v>3</c:v>
                </c:pt>
                <c:pt idx="28">
                  <c:v>2.9</c:v>
                </c:pt>
                <c:pt idx="29">
                  <c:v>2.6</c:v>
                </c:pt>
                <c:pt idx="30">
                  <c:v>2.4</c:v>
                </c:pt>
                <c:pt idx="31">
                  <c:v>2.4</c:v>
                </c:pt>
                <c:pt idx="32">
                  <c:v>2.7</c:v>
                </c:pt>
                <c:pt idx="33">
                  <c:v>2.7</c:v>
                </c:pt>
                <c:pt idx="34">
                  <c:v>3</c:v>
                </c:pt>
                <c:pt idx="35">
                  <c:v>3.4</c:v>
                </c:pt>
                <c:pt idx="36">
                  <c:v>3.1</c:v>
                </c:pt>
                <c:pt idx="37">
                  <c:v>2.2999999999999998</c:v>
                </c:pt>
                <c:pt idx="38">
                  <c:v>3</c:v>
                </c:pt>
                <c:pt idx="39">
                  <c:v>2.5</c:v>
                </c:pt>
                <c:pt idx="40">
                  <c:v>2.6</c:v>
                </c:pt>
                <c:pt idx="41">
                  <c:v>3</c:v>
                </c:pt>
                <c:pt idx="42">
                  <c:v>2.6</c:v>
                </c:pt>
                <c:pt idx="43">
                  <c:v>2.2999999999999998</c:v>
                </c:pt>
                <c:pt idx="44">
                  <c:v>2.7</c:v>
                </c:pt>
                <c:pt idx="45">
                  <c:v>3</c:v>
                </c:pt>
                <c:pt idx="46">
                  <c:v>2.9</c:v>
                </c:pt>
                <c:pt idx="47">
                  <c:v>2.9</c:v>
                </c:pt>
                <c:pt idx="48">
                  <c:v>2.5</c:v>
                </c:pt>
                <c:pt idx="49">
                  <c:v>2.8</c:v>
                </c:pt>
              </c:numCache>
            </c:numRef>
          </c:xVal>
          <c:yVal>
            <c:numRef>
              <c:f>iris!$A$52:$A$101</c:f>
              <c:numCache>
                <c:formatCode>General</c:formatCode>
                <c:ptCount val="50"/>
                <c:pt idx="0">
                  <c:v>7</c:v>
                </c:pt>
                <c:pt idx="1">
                  <c:v>6.4</c:v>
                </c:pt>
                <c:pt idx="2">
                  <c:v>6.9</c:v>
                </c:pt>
                <c:pt idx="3">
                  <c:v>5.5</c:v>
                </c:pt>
                <c:pt idx="4">
                  <c:v>6.5</c:v>
                </c:pt>
                <c:pt idx="5">
                  <c:v>5.7</c:v>
                </c:pt>
                <c:pt idx="6">
                  <c:v>6.3</c:v>
                </c:pt>
                <c:pt idx="7">
                  <c:v>4.9000000000000004</c:v>
                </c:pt>
                <c:pt idx="8">
                  <c:v>6.6</c:v>
                </c:pt>
                <c:pt idx="9">
                  <c:v>5.2</c:v>
                </c:pt>
                <c:pt idx="10">
                  <c:v>5</c:v>
                </c:pt>
                <c:pt idx="11">
                  <c:v>5.9</c:v>
                </c:pt>
                <c:pt idx="12">
                  <c:v>6</c:v>
                </c:pt>
                <c:pt idx="13">
                  <c:v>6.1</c:v>
                </c:pt>
                <c:pt idx="14">
                  <c:v>5.6</c:v>
                </c:pt>
                <c:pt idx="15">
                  <c:v>6.7</c:v>
                </c:pt>
                <c:pt idx="16">
                  <c:v>5.6</c:v>
                </c:pt>
                <c:pt idx="17">
                  <c:v>5.8</c:v>
                </c:pt>
                <c:pt idx="18">
                  <c:v>6.2</c:v>
                </c:pt>
                <c:pt idx="19">
                  <c:v>5.6</c:v>
                </c:pt>
                <c:pt idx="20">
                  <c:v>5.9</c:v>
                </c:pt>
                <c:pt idx="21">
                  <c:v>6.1</c:v>
                </c:pt>
                <c:pt idx="22">
                  <c:v>6.3</c:v>
                </c:pt>
                <c:pt idx="23">
                  <c:v>6.1</c:v>
                </c:pt>
                <c:pt idx="24">
                  <c:v>6.4</c:v>
                </c:pt>
                <c:pt idx="25">
                  <c:v>6.6</c:v>
                </c:pt>
                <c:pt idx="26">
                  <c:v>6.8</c:v>
                </c:pt>
                <c:pt idx="27">
                  <c:v>6.7</c:v>
                </c:pt>
                <c:pt idx="28">
                  <c:v>6</c:v>
                </c:pt>
                <c:pt idx="29">
                  <c:v>5.7</c:v>
                </c:pt>
                <c:pt idx="30">
                  <c:v>5.5</c:v>
                </c:pt>
                <c:pt idx="31">
                  <c:v>5.5</c:v>
                </c:pt>
                <c:pt idx="32">
                  <c:v>5.8</c:v>
                </c:pt>
                <c:pt idx="33">
                  <c:v>6</c:v>
                </c:pt>
                <c:pt idx="34">
                  <c:v>5.4</c:v>
                </c:pt>
                <c:pt idx="35">
                  <c:v>6</c:v>
                </c:pt>
                <c:pt idx="36">
                  <c:v>6.7</c:v>
                </c:pt>
                <c:pt idx="37">
                  <c:v>6.3</c:v>
                </c:pt>
                <c:pt idx="38">
                  <c:v>5.6</c:v>
                </c:pt>
                <c:pt idx="39">
                  <c:v>5.5</c:v>
                </c:pt>
                <c:pt idx="40">
                  <c:v>5.5</c:v>
                </c:pt>
                <c:pt idx="41">
                  <c:v>6.1</c:v>
                </c:pt>
                <c:pt idx="42">
                  <c:v>5.8</c:v>
                </c:pt>
                <c:pt idx="43">
                  <c:v>5</c:v>
                </c:pt>
                <c:pt idx="44">
                  <c:v>5.6</c:v>
                </c:pt>
                <c:pt idx="45">
                  <c:v>5.7</c:v>
                </c:pt>
                <c:pt idx="46">
                  <c:v>5.7</c:v>
                </c:pt>
                <c:pt idx="47">
                  <c:v>6.2</c:v>
                </c:pt>
                <c:pt idx="48">
                  <c:v>5.0999999999999996</c:v>
                </c:pt>
                <c:pt idx="49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6A-7648-9FF1-583F2D9CF3D3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iris!$B$102:$B$151</c:f>
              <c:numCache>
                <c:formatCode>General</c:formatCode>
                <c:ptCount val="50"/>
                <c:pt idx="0">
                  <c:v>3.3</c:v>
                </c:pt>
                <c:pt idx="1">
                  <c:v>2.7</c:v>
                </c:pt>
                <c:pt idx="2">
                  <c:v>3</c:v>
                </c:pt>
                <c:pt idx="3">
                  <c:v>2.9</c:v>
                </c:pt>
                <c:pt idx="4">
                  <c:v>3</c:v>
                </c:pt>
                <c:pt idx="5">
                  <c:v>3</c:v>
                </c:pt>
                <c:pt idx="6">
                  <c:v>2.5</c:v>
                </c:pt>
                <c:pt idx="7">
                  <c:v>2.9</c:v>
                </c:pt>
                <c:pt idx="8">
                  <c:v>2.5</c:v>
                </c:pt>
                <c:pt idx="9">
                  <c:v>3.6</c:v>
                </c:pt>
                <c:pt idx="10">
                  <c:v>3.2</c:v>
                </c:pt>
                <c:pt idx="11">
                  <c:v>2.7</c:v>
                </c:pt>
                <c:pt idx="12">
                  <c:v>3</c:v>
                </c:pt>
                <c:pt idx="13">
                  <c:v>2.5</c:v>
                </c:pt>
                <c:pt idx="14">
                  <c:v>2.8</c:v>
                </c:pt>
                <c:pt idx="15">
                  <c:v>3.2</c:v>
                </c:pt>
                <c:pt idx="16">
                  <c:v>3</c:v>
                </c:pt>
                <c:pt idx="17">
                  <c:v>3.8</c:v>
                </c:pt>
                <c:pt idx="18">
                  <c:v>2.6</c:v>
                </c:pt>
                <c:pt idx="19">
                  <c:v>2.2000000000000002</c:v>
                </c:pt>
                <c:pt idx="20">
                  <c:v>3.2</c:v>
                </c:pt>
                <c:pt idx="21">
                  <c:v>2.8</c:v>
                </c:pt>
                <c:pt idx="22">
                  <c:v>2.8</c:v>
                </c:pt>
                <c:pt idx="23">
                  <c:v>2.7</c:v>
                </c:pt>
                <c:pt idx="24">
                  <c:v>3.3</c:v>
                </c:pt>
                <c:pt idx="25">
                  <c:v>3.2</c:v>
                </c:pt>
                <c:pt idx="26">
                  <c:v>2.8</c:v>
                </c:pt>
                <c:pt idx="27">
                  <c:v>3</c:v>
                </c:pt>
                <c:pt idx="28">
                  <c:v>2.8</c:v>
                </c:pt>
                <c:pt idx="29">
                  <c:v>3</c:v>
                </c:pt>
                <c:pt idx="30">
                  <c:v>2.8</c:v>
                </c:pt>
                <c:pt idx="31">
                  <c:v>3.8</c:v>
                </c:pt>
                <c:pt idx="32">
                  <c:v>2.8</c:v>
                </c:pt>
                <c:pt idx="33">
                  <c:v>2.8</c:v>
                </c:pt>
                <c:pt idx="34">
                  <c:v>2.6</c:v>
                </c:pt>
                <c:pt idx="35">
                  <c:v>3</c:v>
                </c:pt>
                <c:pt idx="36">
                  <c:v>3.4</c:v>
                </c:pt>
                <c:pt idx="37">
                  <c:v>3.1</c:v>
                </c:pt>
                <c:pt idx="38">
                  <c:v>3</c:v>
                </c:pt>
                <c:pt idx="39">
                  <c:v>3.1</c:v>
                </c:pt>
                <c:pt idx="40">
                  <c:v>3.1</c:v>
                </c:pt>
                <c:pt idx="41">
                  <c:v>3.1</c:v>
                </c:pt>
                <c:pt idx="42">
                  <c:v>2.7</c:v>
                </c:pt>
                <c:pt idx="43">
                  <c:v>3.2</c:v>
                </c:pt>
                <c:pt idx="44">
                  <c:v>3.3</c:v>
                </c:pt>
                <c:pt idx="45">
                  <c:v>3</c:v>
                </c:pt>
                <c:pt idx="46">
                  <c:v>2.5</c:v>
                </c:pt>
                <c:pt idx="47">
                  <c:v>3</c:v>
                </c:pt>
                <c:pt idx="48">
                  <c:v>3.4</c:v>
                </c:pt>
                <c:pt idx="49">
                  <c:v>3</c:v>
                </c:pt>
              </c:numCache>
            </c:numRef>
          </c:xVal>
          <c:yVal>
            <c:numRef>
              <c:f>iris!$A$102:$A$151</c:f>
              <c:numCache>
                <c:formatCode>General</c:formatCode>
                <c:ptCount val="50"/>
                <c:pt idx="0">
                  <c:v>6.3</c:v>
                </c:pt>
                <c:pt idx="1">
                  <c:v>5.8</c:v>
                </c:pt>
                <c:pt idx="2">
                  <c:v>7.1</c:v>
                </c:pt>
                <c:pt idx="3">
                  <c:v>6.3</c:v>
                </c:pt>
                <c:pt idx="4">
                  <c:v>6.5</c:v>
                </c:pt>
                <c:pt idx="5">
                  <c:v>7.6</c:v>
                </c:pt>
                <c:pt idx="6">
                  <c:v>4.9000000000000004</c:v>
                </c:pt>
                <c:pt idx="7">
                  <c:v>7.3</c:v>
                </c:pt>
                <c:pt idx="8">
                  <c:v>6.7</c:v>
                </c:pt>
                <c:pt idx="9">
                  <c:v>7.2</c:v>
                </c:pt>
                <c:pt idx="10">
                  <c:v>6.5</c:v>
                </c:pt>
                <c:pt idx="11">
                  <c:v>6.4</c:v>
                </c:pt>
                <c:pt idx="12">
                  <c:v>6.8</c:v>
                </c:pt>
                <c:pt idx="13">
                  <c:v>5.7</c:v>
                </c:pt>
                <c:pt idx="14">
                  <c:v>5.8</c:v>
                </c:pt>
                <c:pt idx="15">
                  <c:v>6.4</c:v>
                </c:pt>
                <c:pt idx="16">
                  <c:v>6.5</c:v>
                </c:pt>
                <c:pt idx="17">
                  <c:v>7.7</c:v>
                </c:pt>
                <c:pt idx="18">
                  <c:v>7.7</c:v>
                </c:pt>
                <c:pt idx="19">
                  <c:v>6</c:v>
                </c:pt>
                <c:pt idx="20">
                  <c:v>6.9</c:v>
                </c:pt>
                <c:pt idx="21">
                  <c:v>5.6</c:v>
                </c:pt>
                <c:pt idx="22">
                  <c:v>7.7</c:v>
                </c:pt>
                <c:pt idx="23">
                  <c:v>6.3</c:v>
                </c:pt>
                <c:pt idx="24">
                  <c:v>6.7</c:v>
                </c:pt>
                <c:pt idx="25">
                  <c:v>7.2</c:v>
                </c:pt>
                <c:pt idx="26">
                  <c:v>6.2</c:v>
                </c:pt>
                <c:pt idx="27">
                  <c:v>6.1</c:v>
                </c:pt>
                <c:pt idx="28">
                  <c:v>6.4</c:v>
                </c:pt>
                <c:pt idx="29">
                  <c:v>7.2</c:v>
                </c:pt>
                <c:pt idx="30">
                  <c:v>7.4</c:v>
                </c:pt>
                <c:pt idx="31">
                  <c:v>7.9</c:v>
                </c:pt>
                <c:pt idx="32">
                  <c:v>6.4</c:v>
                </c:pt>
                <c:pt idx="33">
                  <c:v>6.3</c:v>
                </c:pt>
                <c:pt idx="34">
                  <c:v>6.1</c:v>
                </c:pt>
                <c:pt idx="35">
                  <c:v>7.7</c:v>
                </c:pt>
                <c:pt idx="36">
                  <c:v>6.3</c:v>
                </c:pt>
                <c:pt idx="37">
                  <c:v>6.4</c:v>
                </c:pt>
                <c:pt idx="38">
                  <c:v>6</c:v>
                </c:pt>
                <c:pt idx="39">
                  <c:v>6.9</c:v>
                </c:pt>
                <c:pt idx="40">
                  <c:v>6.7</c:v>
                </c:pt>
                <c:pt idx="41">
                  <c:v>6.9</c:v>
                </c:pt>
                <c:pt idx="42">
                  <c:v>5.8</c:v>
                </c:pt>
                <c:pt idx="43">
                  <c:v>6.8</c:v>
                </c:pt>
                <c:pt idx="44">
                  <c:v>6.7</c:v>
                </c:pt>
                <c:pt idx="45">
                  <c:v>6.7</c:v>
                </c:pt>
                <c:pt idx="46">
                  <c:v>6.3</c:v>
                </c:pt>
                <c:pt idx="47">
                  <c:v>6.5</c:v>
                </c:pt>
                <c:pt idx="48">
                  <c:v>6.2</c:v>
                </c:pt>
                <c:pt idx="49">
                  <c:v>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6A-7648-9FF1-583F2D9CF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465024"/>
        <c:axId val="443360000"/>
      </c:scatterChart>
      <c:valAx>
        <c:axId val="443465024"/>
        <c:scaling>
          <c:orientation val="minMax"/>
          <c:max val="4.5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43360000"/>
        <c:crosses val="autoZero"/>
        <c:crossBetween val="midCat"/>
      </c:valAx>
      <c:valAx>
        <c:axId val="443360000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4346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501650</xdr:colOff>
      <xdr:row>23</xdr:row>
      <xdr:rowOff>152400</xdr:rowOff>
    </xdr:from>
    <xdr:to>
      <xdr:col>19</xdr:col>
      <xdr:colOff>381000</xdr:colOff>
      <xdr:row>53</xdr:row>
      <xdr:rowOff>146050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3A5C56F2-72B6-7322-D43D-4276B8C5BE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819150</xdr:colOff>
      <xdr:row>23</xdr:row>
      <xdr:rowOff>82550</xdr:rowOff>
    </xdr:from>
    <xdr:to>
      <xdr:col>27</xdr:col>
      <xdr:colOff>254000</xdr:colOff>
      <xdr:row>54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5269B5F-3058-C0A2-58AF-B02E5BD47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501650</xdr:colOff>
      <xdr:row>9</xdr:row>
      <xdr:rowOff>152400</xdr:rowOff>
    </xdr:from>
    <xdr:to>
      <xdr:col>16</xdr:col>
      <xdr:colOff>292100</xdr:colOff>
      <xdr:row>39</xdr:row>
      <xdr:rowOff>152400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EA7B0FA9-07FD-C426-270E-50D6FAF61D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666AA2A5-7DA4-8045-9C51-EC0D898A5B04}" autoFormatId="16" applyNumberFormats="0" applyBorderFormats="0" applyFontFormats="0" applyPatternFormats="0" applyAlignmentFormats="0" applyWidthHeightFormats="0">
  <queryTableRefresh nextId="6">
    <queryTableFields count="5">
      <queryTableField id="1" name="Sepal.Length" tableColumnId="1"/>
      <queryTableField id="2" name="Sepal.Width" tableColumnId="2"/>
      <queryTableField id="3" name="Petal.Length" tableColumnId="3"/>
      <queryTableField id="4" name="Petal.Width" tableColumnId="4"/>
      <queryTableField id="5" name="Specie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5365A2-93EA-324E-87DB-9A1808D6EE41}" name="iris" displayName="iris" ref="A1:E151" tableType="queryTable" totalsRowShown="0">
  <autoFilter ref="A1:E151" xr:uid="{DB5365A2-93EA-324E-87DB-9A1808D6EE41}"/>
  <tableColumns count="5">
    <tableColumn id="1" xr3:uid="{D2C53AFA-660F-6A43-AC0C-DD71E48DE77E}" uniqueName="1" name="Sepal.Length" queryTableFieldId="1"/>
    <tableColumn id="2" xr3:uid="{063C9FDD-ED41-B241-86FE-B64CB77B1A85}" uniqueName="2" name="Sepal.Width" queryTableFieldId="2"/>
    <tableColumn id="3" xr3:uid="{E06681A6-933E-0E43-8949-423A39CBDC89}" uniqueName="3" name="Petal.Length" queryTableFieldId="3"/>
    <tableColumn id="4" xr3:uid="{61B698D1-1336-AD4E-9974-A96B87B27B9C}" uniqueName="4" name="Petal.Width" queryTableFieldId="4"/>
    <tableColumn id="5" xr3:uid="{C2362E29-720E-4A43-9E6C-F67BC590B30C}" uniqueName="5" name="Species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541058-BD53-1C4B-83B2-4EF0CAAF83B3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3E6A4668-80C8-C641-B422-6ED5D0FC0572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DA2-235A-054D-90F0-70AF1CFAFF15}">
  <dimension ref="A1:U152"/>
  <sheetViews>
    <sheetView tabSelected="1" workbookViewId="0">
      <selection activeCell="M9" sqref="M9"/>
    </sheetView>
  </sheetViews>
  <sheetFormatPr baseColWidth="10" defaultRowHeight="16" x14ac:dyDescent="0.2"/>
  <cols>
    <col min="1" max="1" width="14.33203125" bestFit="1" customWidth="1"/>
    <col min="2" max="2" width="13.5" bestFit="1" customWidth="1"/>
    <col min="3" max="3" width="14.1640625" bestFit="1" customWidth="1"/>
    <col min="4" max="4" width="13.33203125" bestFit="1" customWidth="1"/>
    <col min="5" max="5" width="10.1640625" bestFit="1" customWidth="1"/>
    <col min="9" max="10" width="12.1640625" bestFit="1" customWidth="1"/>
    <col min="13" max="13" width="12.83203125" bestFit="1" customWidth="1"/>
    <col min="14" max="14" width="12.83203125" customWidth="1"/>
  </cols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21" x14ac:dyDescent="0.2">
      <c r="A2">
        <v>5.0999999999999996</v>
      </c>
      <c r="B2">
        <v>3.5</v>
      </c>
      <c r="C2">
        <v>1.4</v>
      </c>
      <c r="D2">
        <v>0.2</v>
      </c>
      <c r="E2" s="1" t="s">
        <v>5</v>
      </c>
      <c r="G2" cm="1">
        <f t="array" ref="G2:G151">REGRESSION.RESIDUEN(iris[Sepal.Length],iris[[Sepal.Width]:[Petal.Width]])</f>
        <v>-1.8921492815664571</v>
      </c>
      <c r="I2" cm="1">
        <f t="array" ref="I2:I5">REGRESSION(iris[Sepal.Length],iris[[Sepal.Width]:[Petal.Width]])</f>
        <v>1.8559974929177439</v>
      </c>
      <c r="K2" cm="1">
        <f t="array" ref="K2:L6">LINEST(iris[Sepal.Length],iris[Sepal.Width],,TRUE)</f>
        <v>-0.22336106112990003</v>
      </c>
      <c r="L2">
        <v>6.5262225508944827</v>
      </c>
      <c r="O2" cm="1">
        <f t="array" ref="O2:O151">REGRESSION.RESIDUEN(iris[Sepal.Length],iris[Sepal.Width])</f>
        <v>17.518417867000792</v>
      </c>
      <c r="Q2" t="str" cm="1">
        <f t="array" ref="Q2:R152">QQ.DATA(_xlfn.ANCHORARRAY(O2))</f>
        <v>Theoretisch</v>
      </c>
      <c r="R2" t="str">
        <v>Gemessen</v>
      </c>
      <c r="T2" t="str" cm="1">
        <f t="array" ref="T2:U152">QQ.DATA(_xlfn.ANCHORARRAY(G2))</f>
        <v>Theoretisch</v>
      </c>
      <c r="U2" t="str">
        <v>Gemessen</v>
      </c>
    </row>
    <row r="3" spans="1:21" x14ac:dyDescent="0.2">
      <c r="A3">
        <v>4.9000000000000004</v>
      </c>
      <c r="B3">
        <v>3</v>
      </c>
      <c r="C3">
        <v>1.4</v>
      </c>
      <c r="D3">
        <v>0.2</v>
      </c>
      <c r="E3" s="1" t="s">
        <v>5</v>
      </c>
      <c r="G3">
        <v>-2.0467152611348225</v>
      </c>
      <c r="I3">
        <v>0.65083715931319475</v>
      </c>
      <c r="K3">
        <v>0.15508092994240771</v>
      </c>
      <c r="L3">
        <v>0.47889633984408736</v>
      </c>
      <c r="O3">
        <v>14.455306591553549</v>
      </c>
      <c r="Q3">
        <v>1.1422903927149712</v>
      </c>
      <c r="R3">
        <v>1.1890841666452083</v>
      </c>
      <c r="T3">
        <v>-1.2265281200366105</v>
      </c>
      <c r="U3">
        <v>-1.3260324305494615</v>
      </c>
    </row>
    <row r="4" spans="1:21" x14ac:dyDescent="0.2">
      <c r="A4">
        <v>4.7</v>
      </c>
      <c r="B4">
        <v>3.2</v>
      </c>
      <c r="C4">
        <v>1.3</v>
      </c>
      <c r="D4">
        <v>0.2</v>
      </c>
      <c r="E4" s="1" t="s">
        <v>5</v>
      </c>
      <c r="G4">
        <v>-1.769972585238798</v>
      </c>
      <c r="I4">
        <v>0.7091319591367401</v>
      </c>
      <c r="K4">
        <v>1.3822654141080493E-2</v>
      </c>
      <c r="L4">
        <v>0.8250966192296284</v>
      </c>
      <c r="O4">
        <v>15.960551101732445</v>
      </c>
      <c r="Q4">
        <v>0.29673783825989819</v>
      </c>
      <c r="R4">
        <v>0.18632484809691813</v>
      </c>
      <c r="T4">
        <v>-1.6448536269514726</v>
      </c>
      <c r="U4">
        <v>-1.4139152128708929</v>
      </c>
    </row>
    <row r="5" spans="1:21" x14ac:dyDescent="0.2">
      <c r="A5">
        <v>4.5999999999999996</v>
      </c>
      <c r="B5">
        <v>3.1</v>
      </c>
      <c r="C5">
        <v>1.5</v>
      </c>
      <c r="D5">
        <v>0.2</v>
      </c>
      <c r="E5" s="1" t="s">
        <v>5</v>
      </c>
      <c r="G5">
        <v>-1.6107183492898267</v>
      </c>
      <c r="I5">
        <v>-0.55648266016705927</v>
      </c>
      <c r="K5">
        <v>2.0744268984379755</v>
      </c>
      <c r="L5">
        <v>148</v>
      </c>
      <c r="O5">
        <v>15.407928846642998</v>
      </c>
      <c r="Q5">
        <v>0.62292572321008777</v>
      </c>
      <c r="R5">
        <v>0.67909113163820356</v>
      </c>
      <c r="T5">
        <v>-1.0082523471706801</v>
      </c>
      <c r="U5">
        <v>-1.2565654751553985</v>
      </c>
    </row>
    <row r="6" spans="1:21" x14ac:dyDescent="0.2">
      <c r="A6">
        <v>5</v>
      </c>
      <c r="B6">
        <v>3.6</v>
      </c>
      <c r="C6">
        <v>1.4</v>
      </c>
      <c r="D6">
        <v>0.2</v>
      </c>
      <c r="E6" s="1" t="s">
        <v>5</v>
      </c>
      <c r="G6">
        <v>-1.7212360856527846</v>
      </c>
      <c r="K6">
        <v>1.4122375358372921</v>
      </c>
      <c r="L6">
        <v>100.75609579749603</v>
      </c>
      <c r="O6">
        <v>18.271040122090238</v>
      </c>
      <c r="Q6">
        <v>0.53401185318210209</v>
      </c>
      <c r="R6">
        <v>0.49818124424039645</v>
      </c>
      <c r="T6">
        <v>-0.78350037538977446</v>
      </c>
      <c r="U6">
        <v>-1.1660170544049</v>
      </c>
    </row>
    <row r="7" spans="1:21" x14ac:dyDescent="0.2">
      <c r="A7">
        <v>5.4</v>
      </c>
      <c r="B7">
        <v>3.9</v>
      </c>
      <c r="C7">
        <v>1.7</v>
      </c>
      <c r="D7">
        <v>0.4</v>
      </c>
      <c r="E7" s="1" t="s">
        <v>5</v>
      </c>
      <c r="G7">
        <v>-1.3420458515342917</v>
      </c>
      <c r="O7">
        <v>19.828906887358585</v>
      </c>
      <c r="Q7">
        <v>1.2627844162947799</v>
      </c>
      <c r="R7">
        <v>1.4354673084158502</v>
      </c>
      <c r="T7">
        <v>-0.92814312277405653</v>
      </c>
      <c r="U7">
        <v>-1.2288549841651628</v>
      </c>
    </row>
    <row r="8" spans="1:21" x14ac:dyDescent="0.2">
      <c r="A8">
        <v>4.5999999999999996</v>
      </c>
      <c r="B8">
        <v>3.4</v>
      </c>
      <c r="C8">
        <v>1.4</v>
      </c>
      <c r="D8">
        <v>0.3</v>
      </c>
      <c r="E8" s="1" t="s">
        <v>5</v>
      </c>
      <c r="G8">
        <v>-1.2774627281883761</v>
      </c>
      <c r="O8">
        <v>17.365795611911338</v>
      </c>
      <c r="Q8">
        <v>1.8339146358159142</v>
      </c>
      <c r="R8">
        <v>1.9454603434228552</v>
      </c>
      <c r="T8">
        <v>-0.55338471955567303</v>
      </c>
      <c r="U8">
        <v>-1.0132558407022343</v>
      </c>
    </row>
    <row r="9" spans="1:21" x14ac:dyDescent="0.2">
      <c r="A9">
        <v>5</v>
      </c>
      <c r="B9">
        <v>3.4</v>
      </c>
      <c r="C9">
        <v>1.5</v>
      </c>
      <c r="D9">
        <v>0.2</v>
      </c>
      <c r="E9" s="1" t="s">
        <v>5</v>
      </c>
      <c r="G9">
        <v>-1.7979787615488085</v>
      </c>
      <c r="I9" cm="1">
        <f t="array" ref="I9:L13">LINEST(iris[Sepal.Length],iris[[Sepal.Width]:[Petal.Width]],,TRUE)</f>
        <v>-0.55648266016702441</v>
      </c>
      <c r="J9">
        <v>0.70913195913672955</v>
      </c>
      <c r="K9">
        <v>0.65083715931321795</v>
      </c>
      <c r="L9">
        <v>1.8559974929175427</v>
      </c>
      <c r="O9">
        <v>16.965795611911339</v>
      </c>
      <c r="Q9">
        <v>1.0654625443443777</v>
      </c>
      <c r="R9">
        <v>1.1391207879930703</v>
      </c>
      <c r="T9">
        <v>-0.47704042848944361</v>
      </c>
      <c r="U9">
        <v>-0.97653531147259975</v>
      </c>
    </row>
    <row r="10" spans="1:21" x14ac:dyDescent="0.2">
      <c r="A10">
        <v>4.4000000000000004</v>
      </c>
      <c r="B10">
        <v>2.9</v>
      </c>
      <c r="C10">
        <v>1.4</v>
      </c>
      <c r="D10">
        <v>0.2</v>
      </c>
      <c r="E10" s="1" t="s">
        <v>5</v>
      </c>
      <c r="G10">
        <v>-1.6176284570484958</v>
      </c>
      <c r="I10">
        <v>0.12754794956658885</v>
      </c>
      <c r="J10">
        <v>5.6719288020478126E-2</v>
      </c>
      <c r="K10">
        <v>6.6647394386500539E-2</v>
      </c>
      <c r="L10">
        <v>0.25077711275580528</v>
      </c>
      <c r="O10">
        <v>14.302684336464099</v>
      </c>
      <c r="Q10">
        <v>0.94107453035297695</v>
      </c>
      <c r="R10">
        <v>1.0081742792473996</v>
      </c>
      <c r="T10">
        <v>-1.0654625443443777</v>
      </c>
      <c r="U10">
        <v>-1.2724891648520673</v>
      </c>
    </row>
    <row r="11" spans="1:21" x14ac:dyDescent="0.2">
      <c r="A11">
        <v>4.9000000000000004</v>
      </c>
      <c r="B11">
        <v>3.1</v>
      </c>
      <c r="C11">
        <v>1.5</v>
      </c>
      <c r="D11">
        <v>0.1</v>
      </c>
      <c r="E11" s="1" t="s">
        <v>5</v>
      </c>
      <c r="G11">
        <v>-2.0963180985815817</v>
      </c>
      <c r="I11">
        <v>0.8586117200663177</v>
      </c>
      <c r="J11">
        <v>0.31454908924654257</v>
      </c>
      <c r="K11" t="e">
        <v>#N/A</v>
      </c>
      <c r="L11" t="e">
        <v>#N/A</v>
      </c>
      <c r="O11">
        <v>15.107928846642997</v>
      </c>
      <c r="Q11">
        <v>0.26198457630007294</v>
      </c>
      <c r="R11">
        <v>0.13636146944478103</v>
      </c>
      <c r="T11">
        <v>-0.82977383532890403</v>
      </c>
      <c r="U11">
        <v>-1.1699459881694232</v>
      </c>
    </row>
    <row r="12" spans="1:21" x14ac:dyDescent="0.2">
      <c r="A12">
        <v>5.4</v>
      </c>
      <c r="B12">
        <v>3.7</v>
      </c>
      <c r="C12">
        <v>1.5</v>
      </c>
      <c r="D12">
        <v>0.2</v>
      </c>
      <c r="E12" s="1" t="s">
        <v>5</v>
      </c>
      <c r="G12">
        <v>-1.9852391738077895</v>
      </c>
      <c r="I12">
        <v>295.53913801172399</v>
      </c>
      <c r="J12">
        <v>146</v>
      </c>
      <c r="K12" t="e">
        <v>#N/A</v>
      </c>
      <c r="L12" t="e">
        <v>#N/A</v>
      </c>
      <c r="O12">
        <v>18.52366237717969</v>
      </c>
      <c r="Q12">
        <v>0.4864238746285881</v>
      </c>
      <c r="R12">
        <v>0.39997136268114292</v>
      </c>
      <c r="T12">
        <v>-1.8807936081512509</v>
      </c>
      <c r="U12">
        <v>-1.442118284323177</v>
      </c>
    </row>
    <row r="13" spans="1:21" x14ac:dyDescent="0.2">
      <c r="A13">
        <v>4.8</v>
      </c>
      <c r="B13">
        <v>3.4</v>
      </c>
      <c r="C13">
        <v>1.6</v>
      </c>
      <c r="D13">
        <v>0.2</v>
      </c>
      <c r="E13" s="1" t="s">
        <v>5</v>
      </c>
      <c r="G13">
        <v>-1.5328950456174866</v>
      </c>
      <c r="I13">
        <v>87.72292841964223</v>
      </c>
      <c r="J13">
        <v>14.445404913691094</v>
      </c>
      <c r="K13" t="e">
        <v>#N/A</v>
      </c>
      <c r="L13" t="e">
        <v>#N/A</v>
      </c>
      <c r="O13">
        <v>17.165795611911339</v>
      </c>
      <c r="Q13">
        <v>1.3407550336902161</v>
      </c>
      <c r="R13">
        <v>1.5181673142544057</v>
      </c>
      <c r="T13">
        <v>-1.4757910281791702</v>
      </c>
      <c r="U13">
        <v>-1.378961275299234</v>
      </c>
    </row>
    <row r="14" spans="1:21" x14ac:dyDescent="0.2">
      <c r="A14">
        <v>4.8</v>
      </c>
      <c r="B14">
        <v>3</v>
      </c>
      <c r="C14">
        <v>1.4</v>
      </c>
      <c r="D14">
        <v>0.1</v>
      </c>
      <c r="E14" s="1" t="s">
        <v>5</v>
      </c>
      <c r="G14">
        <v>-2.1323150104265762</v>
      </c>
      <c r="O14">
        <v>14.555306591553549</v>
      </c>
      <c r="Q14">
        <v>1.0222413874778939</v>
      </c>
      <c r="R14">
        <v>1.0736475336202349</v>
      </c>
      <c r="T14">
        <v>-0.65365619155083987</v>
      </c>
      <c r="U14">
        <v>-1.1217684527703737</v>
      </c>
    </row>
    <row r="15" spans="1:21" x14ac:dyDescent="0.2">
      <c r="A15">
        <v>4.3</v>
      </c>
      <c r="B15">
        <v>3</v>
      </c>
      <c r="C15">
        <v>1.1000000000000001</v>
      </c>
      <c r="D15">
        <v>0.1</v>
      </c>
      <c r="E15" s="1" t="s">
        <v>5</v>
      </c>
      <c r="G15">
        <v>-1.8275661582205411</v>
      </c>
      <c r="O15">
        <v>15.055306591553549</v>
      </c>
      <c r="Q15">
        <v>0.32303773198182584</v>
      </c>
      <c r="R15">
        <v>0.21906147528333578</v>
      </c>
      <c r="T15">
        <v>-1.9893129908833236</v>
      </c>
      <c r="U15">
        <v>-1.4625853287319899</v>
      </c>
    </row>
    <row r="16" spans="1:21" x14ac:dyDescent="0.2">
      <c r="A16">
        <v>5.8</v>
      </c>
      <c r="B16">
        <v>4</v>
      </c>
      <c r="C16">
        <v>1.2</v>
      </c>
      <c r="D16">
        <v>0.2</v>
      </c>
      <c r="E16" s="1" t="s">
        <v>5</v>
      </c>
      <c r="G16">
        <v>-2.3677507338607362</v>
      </c>
      <c r="O16">
        <v>20.08152914244803</v>
      </c>
      <c r="Q16">
        <v>0.45839780735990404</v>
      </c>
      <c r="R16">
        <v>0.38274461121542463</v>
      </c>
      <c r="T16">
        <v>-1.1584837810112794</v>
      </c>
      <c r="U16">
        <v>-1.2893119013198269</v>
      </c>
    </row>
    <row r="17" spans="1:21" x14ac:dyDescent="0.2">
      <c r="A17">
        <v>5.7</v>
      </c>
      <c r="B17">
        <v>4.4000000000000004</v>
      </c>
      <c r="C17">
        <v>1.5</v>
      </c>
      <c r="D17">
        <v>0.4</v>
      </c>
      <c r="E17" s="1" t="s">
        <v>5</v>
      </c>
      <c r="G17">
        <v>-1.41764730382857</v>
      </c>
      <c r="O17">
        <v>22.792018162805828</v>
      </c>
      <c r="Q17">
        <v>1.9893129908833236</v>
      </c>
      <c r="R17">
        <v>2.028160349261408</v>
      </c>
      <c r="T17">
        <v>-2.7130518884727173</v>
      </c>
      <c r="U17">
        <v>-1.5964488509057122</v>
      </c>
    </row>
    <row r="18" spans="1:21" x14ac:dyDescent="0.2">
      <c r="A18">
        <v>5.4</v>
      </c>
      <c r="B18">
        <v>3.9</v>
      </c>
      <c r="C18">
        <v>1.3</v>
      </c>
      <c r="D18">
        <v>0.4</v>
      </c>
      <c r="E18" s="1" t="s">
        <v>5</v>
      </c>
      <c r="G18">
        <v>-1.6023807152595788</v>
      </c>
      <c r="I18" cm="1">
        <f t="array" ref="I18:I19">REGRESSION(iris[Sepal.Length],iris[Sepal.Width])</f>
        <v>6.5262225508945981</v>
      </c>
      <c r="O18">
        <v>19.828906887358585</v>
      </c>
      <c r="Q18">
        <v>2.7130518884727204</v>
      </c>
      <c r="R18">
        <v>2.915483034784728</v>
      </c>
      <c r="T18">
        <v>-0.59277262069791836</v>
      </c>
      <c r="U18">
        <v>-1.0562411470013053</v>
      </c>
    </row>
    <row r="19" spans="1:21" x14ac:dyDescent="0.2">
      <c r="A19">
        <v>5.0999999999999996</v>
      </c>
      <c r="B19">
        <v>3.5</v>
      </c>
      <c r="C19">
        <v>1.4</v>
      </c>
      <c r="D19">
        <v>0.3</v>
      </c>
      <c r="E19" s="1" t="s">
        <v>5</v>
      </c>
      <c r="G19">
        <v>-1.7065495322747029</v>
      </c>
      <c r="I19">
        <v>-0.22336106112993565</v>
      </c>
      <c r="O19">
        <v>17.518417867000792</v>
      </c>
      <c r="Q19">
        <v>1.8339146358159142</v>
      </c>
      <c r="R19">
        <v>1.9454603434228552</v>
      </c>
      <c r="T19">
        <v>-0.73884684918521393</v>
      </c>
      <c r="U19">
        <v>-1.1612764609146493</v>
      </c>
    </row>
    <row r="20" spans="1:21" x14ac:dyDescent="0.2">
      <c r="A20">
        <v>5.7</v>
      </c>
      <c r="B20">
        <v>3.8</v>
      </c>
      <c r="C20">
        <v>1.7</v>
      </c>
      <c r="D20">
        <v>0.3</v>
      </c>
      <c r="E20" s="1" t="s">
        <v>5</v>
      </c>
      <c r="G20">
        <v>-1.8985587967397195</v>
      </c>
      <c r="O20">
        <v>18.876284632269133</v>
      </c>
      <c r="Q20">
        <v>1.1422903927149712</v>
      </c>
      <c r="R20">
        <v>1.1890841666452083</v>
      </c>
      <c r="T20">
        <v>-0.90273479164386372</v>
      </c>
      <c r="U20">
        <v>-1.2205045361740694</v>
      </c>
    </row>
    <row r="21" spans="1:21" x14ac:dyDescent="0.2">
      <c r="A21">
        <v>5.0999999999999996</v>
      </c>
      <c r="B21">
        <v>3.8</v>
      </c>
      <c r="C21">
        <v>1.5</v>
      </c>
      <c r="D21">
        <v>0.3</v>
      </c>
      <c r="E21" s="1" t="s">
        <v>5</v>
      </c>
      <c r="G21">
        <v>-1.4287262286023625</v>
      </c>
      <c r="O21">
        <v>19.476284632269135</v>
      </c>
      <c r="Q21">
        <v>1.5273795175235878</v>
      </c>
      <c r="R21">
        <v>1.6336039472793757</v>
      </c>
      <c r="T21">
        <v>-1.300781274438926</v>
      </c>
      <c r="U21">
        <v>-1.3296767384905153</v>
      </c>
    </row>
    <row r="22" spans="1:21" x14ac:dyDescent="0.2">
      <c r="A22">
        <v>5.4</v>
      </c>
      <c r="B22">
        <v>3.4</v>
      </c>
      <c r="C22">
        <v>1.7</v>
      </c>
      <c r="D22">
        <v>0.2</v>
      </c>
      <c r="E22" s="1" t="s">
        <v>5</v>
      </c>
      <c r="G22">
        <v>-2.0678113296861653</v>
      </c>
      <c r="O22">
        <v>16.565795611911341</v>
      </c>
      <c r="Q22">
        <v>1.6448536269514715</v>
      </c>
      <c r="R22">
        <v>1.8300237103978827</v>
      </c>
      <c r="T22">
        <v>-0.61281299101662734</v>
      </c>
      <c r="U22">
        <v>-1.0625403775109536</v>
      </c>
    </row>
    <row r="23" spans="1:21" x14ac:dyDescent="0.2">
      <c r="A23">
        <v>5.0999999999999996</v>
      </c>
      <c r="B23">
        <v>3.7</v>
      </c>
      <c r="C23">
        <v>1.5</v>
      </c>
      <c r="D23">
        <v>0.4</v>
      </c>
      <c r="E23" s="1" t="s">
        <v>5</v>
      </c>
      <c r="G23">
        <v>-1.3140396752242802</v>
      </c>
      <c r="I23" t="s">
        <v>8</v>
      </c>
      <c r="O23">
        <v>18.823662377179687</v>
      </c>
      <c r="Q23">
        <v>0.79490860793218543</v>
      </c>
      <c r="R23">
        <v>0.87722777050172895</v>
      </c>
      <c r="T23">
        <v>-1.7907505531699293</v>
      </c>
      <c r="U23">
        <v>-1.4259099688030392</v>
      </c>
    </row>
    <row r="24" spans="1:21" x14ac:dyDescent="0.2">
      <c r="A24">
        <v>4.5999999999999996</v>
      </c>
      <c r="B24">
        <v>3.6</v>
      </c>
      <c r="C24">
        <v>1</v>
      </c>
      <c r="D24">
        <v>0.2</v>
      </c>
      <c r="E24" s="1" t="s">
        <v>5</v>
      </c>
      <c r="G24">
        <v>-1.5815709493780714</v>
      </c>
      <c r="I24" t="e" cm="1">
        <f t="array" ref="I24">SUM(_xlfn.ANCHORARRAY(F2)^2)</f>
        <v>#REF!</v>
      </c>
      <c r="O24">
        <v>18.67104012209024</v>
      </c>
      <c r="Q24">
        <v>1.4757910281791713</v>
      </c>
      <c r="R24">
        <v>1.6163771958136579</v>
      </c>
      <c r="T24">
        <v>-0.514837373499614</v>
      </c>
      <c r="U24">
        <v>-0.99733215100556505</v>
      </c>
    </row>
    <row r="25" spans="1:21" x14ac:dyDescent="0.2">
      <c r="A25">
        <v>5.0999999999999996</v>
      </c>
      <c r="B25">
        <v>3.3</v>
      </c>
      <c r="C25">
        <v>1.7</v>
      </c>
      <c r="D25">
        <v>0.5</v>
      </c>
      <c r="E25" s="1" t="s">
        <v>5</v>
      </c>
      <c r="G25">
        <v>-1.2819252777245747</v>
      </c>
      <c r="K25" t="e">
        <f>1-I24/I27</f>
        <v>#REF!</v>
      </c>
      <c r="O25">
        <v>16.213173356821891</v>
      </c>
      <c r="Q25">
        <v>1.4278559202758598</v>
      </c>
      <c r="R25">
        <v>1.5664138171615221</v>
      </c>
      <c r="T25">
        <v>-0.7170660652139651</v>
      </c>
      <c r="U25">
        <v>-1.1494444903203984</v>
      </c>
    </row>
    <row r="26" spans="1:21" x14ac:dyDescent="0.2">
      <c r="A26">
        <v>4.8</v>
      </c>
      <c r="B26">
        <v>3.4</v>
      </c>
      <c r="C26">
        <v>1.9</v>
      </c>
      <c r="D26">
        <v>0.2</v>
      </c>
      <c r="E26" s="1" t="s">
        <v>5</v>
      </c>
      <c r="G26">
        <v>-1.3376438978235212</v>
      </c>
      <c r="I26" t="s">
        <v>9</v>
      </c>
      <c r="O26">
        <v>17.165795611911339</v>
      </c>
      <c r="Q26">
        <v>0.7170660652139651</v>
      </c>
      <c r="R26">
        <v>0.76179113747675653</v>
      </c>
      <c r="T26">
        <v>-0.49585034734745354</v>
      </c>
      <c r="U26">
        <v>-0.97907261800398226</v>
      </c>
    </row>
    <row r="27" spans="1:21" x14ac:dyDescent="0.2">
      <c r="A27">
        <v>5</v>
      </c>
      <c r="B27">
        <v>3</v>
      </c>
      <c r="C27">
        <v>1.6</v>
      </c>
      <c r="D27">
        <v>0.2</v>
      </c>
      <c r="E27" s="1" t="s">
        <v>5</v>
      </c>
      <c r="G27">
        <v>-2.0165478292721781</v>
      </c>
      <c r="I27" cm="1">
        <f t="array" ref="I27">SUM((iris[Sepal.Length]-I28)^2)</f>
        <v>102.16833333333332</v>
      </c>
      <c r="O27">
        <v>14.35530659155355</v>
      </c>
      <c r="Q27">
        <v>1.0222413874778939</v>
      </c>
      <c r="R27">
        <v>1.0736475336202349</v>
      </c>
      <c r="T27">
        <v>-0.53401185318210187</v>
      </c>
      <c r="U27">
        <v>-1.0107529876110626</v>
      </c>
    </row>
    <row r="28" spans="1:21" x14ac:dyDescent="0.2">
      <c r="A28">
        <v>5</v>
      </c>
      <c r="B28">
        <v>3.4</v>
      </c>
      <c r="C28">
        <v>1.6</v>
      </c>
      <c r="D28">
        <v>0.4</v>
      </c>
      <c r="E28" s="1" t="s">
        <v>5</v>
      </c>
      <c r="G28">
        <v>-1.3616955470339782</v>
      </c>
      <c r="I28">
        <f>AVERAGE(iris[Sepal.Length])</f>
        <v>5.8433333333333346</v>
      </c>
      <c r="O28">
        <v>16.965795611911339</v>
      </c>
      <c r="Q28">
        <v>0.27931903444745415</v>
      </c>
      <c r="R28">
        <v>0.15358822091050045</v>
      </c>
      <c r="T28">
        <v>-1.5273795175235876</v>
      </c>
      <c r="U28">
        <v>-1.3967626812789797</v>
      </c>
    </row>
    <row r="29" spans="1:21" x14ac:dyDescent="0.2">
      <c r="A29">
        <v>5.2</v>
      </c>
      <c r="B29">
        <v>3.5</v>
      </c>
      <c r="C29">
        <v>1.5</v>
      </c>
      <c r="D29">
        <v>0.2</v>
      </c>
      <c r="E29" s="1" t="s">
        <v>5</v>
      </c>
      <c r="G29">
        <v>-1.9270655656351359</v>
      </c>
      <c r="O29">
        <v>17.418417867000791</v>
      </c>
      <c r="Q29">
        <v>0.94107453035297695</v>
      </c>
      <c r="R29">
        <v>1.0081742792473996</v>
      </c>
      <c r="T29">
        <v>-0.57296754849546372</v>
      </c>
      <c r="U29">
        <v>-1.0244282210481794</v>
      </c>
    </row>
    <row r="30" spans="1:21" x14ac:dyDescent="0.2">
      <c r="A30">
        <v>5.2</v>
      </c>
      <c r="B30">
        <v>3.4</v>
      </c>
      <c r="C30">
        <v>1.4</v>
      </c>
      <c r="D30">
        <v>0.2</v>
      </c>
      <c r="E30" s="1" t="s">
        <v>5</v>
      </c>
      <c r="G30">
        <v>-2.0630624774801309</v>
      </c>
      <c r="O30">
        <v>16.76579561191134</v>
      </c>
      <c r="Q30">
        <v>1.09541849892971</v>
      </c>
      <c r="R30">
        <v>1.1563475394587901</v>
      </c>
      <c r="T30">
        <v>-1.3829941271006392</v>
      </c>
      <c r="U30">
        <v>-1.3458850540106528</v>
      </c>
    </row>
    <row r="31" spans="1:21" x14ac:dyDescent="0.2">
      <c r="A31">
        <v>4.7</v>
      </c>
      <c r="B31">
        <v>3.2</v>
      </c>
      <c r="C31">
        <v>1.6</v>
      </c>
      <c r="D31">
        <v>0.2</v>
      </c>
      <c r="E31" s="1" t="s">
        <v>5</v>
      </c>
      <c r="G31">
        <v>-1.5747214374448326</v>
      </c>
      <c r="O31">
        <v>15.960551101732445</v>
      </c>
      <c r="Q31">
        <v>0.85358795751157213</v>
      </c>
      <c r="R31">
        <v>0.94270102487456431</v>
      </c>
      <c r="T31">
        <v>-1.7132494016280724</v>
      </c>
      <c r="U31">
        <v>-1.4232098769337609</v>
      </c>
    </row>
    <row r="32" spans="1:21" x14ac:dyDescent="0.2">
      <c r="A32">
        <v>4.8</v>
      </c>
      <c r="B32">
        <v>3.1</v>
      </c>
      <c r="C32">
        <v>1.6</v>
      </c>
      <c r="D32">
        <v>0.2</v>
      </c>
      <c r="E32" s="1" t="s">
        <v>5</v>
      </c>
      <c r="G32">
        <v>-1.7456346333585051</v>
      </c>
      <c r="O32">
        <v>15.207928846642996</v>
      </c>
      <c r="Q32">
        <v>0.62292572321008777</v>
      </c>
      <c r="R32">
        <v>0.67909113163820356</v>
      </c>
      <c r="T32">
        <v>-0.69562027304633844</v>
      </c>
      <c r="U32">
        <v>-1.1455500099960874</v>
      </c>
    </row>
    <row r="33" spans="1:21" x14ac:dyDescent="0.2">
      <c r="A33">
        <v>5.4</v>
      </c>
      <c r="B33">
        <v>3.4</v>
      </c>
      <c r="C33">
        <v>1.5</v>
      </c>
      <c r="D33">
        <v>0.4</v>
      </c>
      <c r="E33" s="1" t="s">
        <v>5</v>
      </c>
      <c r="G33">
        <v>-1.8267792629653004</v>
      </c>
      <c r="I33" t="str" cm="1">
        <f t="array" ref="I33:M39">REGRESSION.STATS(iris[Sepal.Length],iris[[Sepal.Width]:[Petal.Width]])</f>
        <v>Koef.</v>
      </c>
      <c r="J33">
        <v>1.8559974929175427</v>
      </c>
      <c r="K33">
        <v>0.65083715931321795</v>
      </c>
      <c r="L33">
        <v>0.70913195913672955</v>
      </c>
      <c r="M33">
        <v>-0.55648266016702441</v>
      </c>
      <c r="O33">
        <v>16.565795611911341</v>
      </c>
      <c r="Q33">
        <v>0.514837373499614</v>
      </c>
      <c r="R33">
        <v>0.43270798986756054</v>
      </c>
      <c r="T33">
        <v>-0.95416525314619549</v>
      </c>
      <c r="U33">
        <v>-1.2427274563803861</v>
      </c>
    </row>
    <row r="34" spans="1:21" x14ac:dyDescent="0.2">
      <c r="A34">
        <v>5.2</v>
      </c>
      <c r="B34">
        <v>4.0999999999999996</v>
      </c>
      <c r="C34">
        <v>1.5</v>
      </c>
      <c r="D34">
        <v>0.1</v>
      </c>
      <c r="E34" s="1" t="s">
        <v>5</v>
      </c>
      <c r="G34">
        <v>-1.6871861394448522</v>
      </c>
      <c r="I34" t="str">
        <v>se</v>
      </c>
      <c r="J34">
        <v>0.25077711275580528</v>
      </c>
      <c r="K34">
        <v>6.6647394386500539E-2</v>
      </c>
      <c r="L34">
        <v>5.6719288020478126E-2</v>
      </c>
      <c r="M34">
        <v>0.12754794956658885</v>
      </c>
      <c r="O34">
        <v>21.334151397537479</v>
      </c>
      <c r="Q34">
        <v>0.79490860793218543</v>
      </c>
      <c r="R34">
        <v>0.87722777050172895</v>
      </c>
      <c r="T34">
        <v>-1.1263911290388013</v>
      </c>
      <c r="U34">
        <v>-1.2888644901584625</v>
      </c>
    </row>
    <row r="35" spans="1:21" x14ac:dyDescent="0.2">
      <c r="A35">
        <v>5.5</v>
      </c>
      <c r="B35">
        <v>4.2</v>
      </c>
      <c r="C35">
        <v>1.4</v>
      </c>
      <c r="D35">
        <v>0.2</v>
      </c>
      <c r="E35" s="1" t="s">
        <v>5</v>
      </c>
      <c r="G35">
        <v>-1.7957569101707467</v>
      </c>
      <c r="I35" t="str">
        <v>t</v>
      </c>
      <c r="J35">
        <v>7.4009843742192851</v>
      </c>
      <c r="K35">
        <v>9.7653804069052299</v>
      </c>
      <c r="L35">
        <v>12.502483438803077</v>
      </c>
      <c r="M35">
        <v>-4.362929094963631</v>
      </c>
      <c r="O35">
        <v>21.686773652626929</v>
      </c>
      <c r="Q35">
        <v>2.128045234184984</v>
      </c>
      <c r="R35">
        <v>2.4382266269641399</v>
      </c>
      <c r="T35">
        <v>-0.87789629505122846</v>
      </c>
      <c r="U35">
        <v>-1.2094949411660201</v>
      </c>
    </row>
    <row r="36" spans="1:21" x14ac:dyDescent="0.2">
      <c r="A36">
        <v>4.9000000000000004</v>
      </c>
      <c r="B36">
        <v>3.1</v>
      </c>
      <c r="C36">
        <v>1.5</v>
      </c>
      <c r="D36">
        <v>0.2</v>
      </c>
      <c r="E36" s="1" t="s">
        <v>5</v>
      </c>
      <c r="G36">
        <v>-1.9107183492898274</v>
      </c>
      <c r="I36" t="str">
        <v>p(|t|)</v>
      </c>
      <c r="J36">
        <v>9.8538549805435255E-12</v>
      </c>
      <c r="K36">
        <v>1.1998456910922322E-17</v>
      </c>
      <c r="L36">
        <v>7.6569804541168925E-25</v>
      </c>
      <c r="M36">
        <v>2.4128756861179927E-5</v>
      </c>
      <c r="O36">
        <v>15.107928846642997</v>
      </c>
      <c r="Q36">
        <v>2.3263478740408408</v>
      </c>
      <c r="R36">
        <v>2.5536632599891123</v>
      </c>
      <c r="T36">
        <v>-1.0364333894937898</v>
      </c>
      <c r="U36">
        <v>-1.2712258695166121</v>
      </c>
    </row>
    <row r="37" spans="1:21" x14ac:dyDescent="0.2">
      <c r="A37">
        <v>5</v>
      </c>
      <c r="B37">
        <v>3.2</v>
      </c>
      <c r="C37">
        <v>1.2</v>
      </c>
      <c r="D37">
        <v>0.2</v>
      </c>
      <c r="E37" s="1" t="s">
        <v>5</v>
      </c>
      <c r="G37">
        <v>-2.13505630117012</v>
      </c>
      <c r="I37" t="str">
        <v>r2/rse</v>
      </c>
      <c r="J37">
        <v>0.8586117200663177</v>
      </c>
      <c r="K37">
        <v>0.31454908924654257</v>
      </c>
      <c r="L37" t="e">
        <v>#N/A</v>
      </c>
      <c r="M37" t="e">
        <v>#N/A</v>
      </c>
      <c r="O37">
        <v>15.660551101732445</v>
      </c>
      <c r="Q37">
        <v>0.4864238746285881</v>
      </c>
      <c r="R37">
        <v>0.39997136268114292</v>
      </c>
      <c r="T37">
        <v>-1.3407550336902161</v>
      </c>
      <c r="U37">
        <v>-1.3365903899477849</v>
      </c>
    </row>
    <row r="38" spans="1:21" x14ac:dyDescent="0.2">
      <c r="A38">
        <v>5.5</v>
      </c>
      <c r="B38">
        <v>3.5</v>
      </c>
      <c r="C38">
        <v>1.3</v>
      </c>
      <c r="D38">
        <v>0.2</v>
      </c>
      <c r="E38" s="1" t="s">
        <v>5</v>
      </c>
      <c r="G38">
        <v>-2.3572329974977793</v>
      </c>
      <c r="I38" t="str">
        <v>F Stat.</v>
      </c>
      <c r="J38">
        <v>295.53913801172399</v>
      </c>
      <c r="K38">
        <v>146</v>
      </c>
      <c r="L38" t="e">
        <v>#N/A</v>
      </c>
      <c r="M38" t="e">
        <v>#N/A</v>
      </c>
      <c r="O38">
        <v>17.11841786700079</v>
      </c>
      <c r="Q38">
        <v>0.5533847195556727</v>
      </c>
      <c r="R38">
        <v>0.58088125007894997</v>
      </c>
      <c r="T38">
        <v>-2.128045234184984</v>
      </c>
      <c r="U38">
        <v>-1.4641439657513868</v>
      </c>
    </row>
    <row r="39" spans="1:21" x14ac:dyDescent="0.2">
      <c r="A39">
        <v>4.9000000000000004</v>
      </c>
      <c r="B39">
        <v>3.6</v>
      </c>
      <c r="C39">
        <v>1.4</v>
      </c>
      <c r="D39">
        <v>0.1</v>
      </c>
      <c r="E39" s="1" t="s">
        <v>5</v>
      </c>
      <c r="G39">
        <v>-1.8068358349445393</v>
      </c>
      <c r="I39" t="str">
        <v>SSres</v>
      </c>
      <c r="J39">
        <v>87.72292841964223</v>
      </c>
      <c r="K39">
        <v>14.445404913691094</v>
      </c>
      <c r="L39" t="e">
        <v>#N/A</v>
      </c>
      <c r="M39" t="e">
        <v>#N/A</v>
      </c>
      <c r="O39">
        <v>18.371040122090236</v>
      </c>
      <c r="Q39">
        <v>0.98085010261434624</v>
      </c>
      <c r="R39">
        <v>1.0581376578995367</v>
      </c>
      <c r="T39">
        <v>-2.3263478740408408</v>
      </c>
      <c r="U39">
        <v>-1.5904686996597448</v>
      </c>
    </row>
    <row r="40" spans="1:21" x14ac:dyDescent="0.2">
      <c r="A40">
        <v>4.4000000000000004</v>
      </c>
      <c r="B40">
        <v>3</v>
      </c>
      <c r="C40">
        <v>1.3</v>
      </c>
      <c r="D40">
        <v>0.2</v>
      </c>
      <c r="E40" s="1" t="s">
        <v>5</v>
      </c>
      <c r="G40">
        <v>-1.6117989770661438</v>
      </c>
      <c r="O40">
        <v>14.955306591553549</v>
      </c>
      <c r="Q40">
        <v>1.300781274438926</v>
      </c>
      <c r="R40">
        <v>1.4682039356022674</v>
      </c>
      <c r="T40">
        <v>-1.0954184989297102</v>
      </c>
      <c r="U40">
        <v>-1.2775251000262604</v>
      </c>
    </row>
    <row r="41" spans="1:21" x14ac:dyDescent="0.2">
      <c r="A41">
        <v>5.0999999999999996</v>
      </c>
      <c r="B41">
        <v>3.4</v>
      </c>
      <c r="C41">
        <v>1.5</v>
      </c>
      <c r="D41">
        <v>0.2</v>
      </c>
      <c r="E41" s="1" t="s">
        <v>5</v>
      </c>
      <c r="G41">
        <v>-1.8979787615488082</v>
      </c>
      <c r="O41">
        <v>16.865795611911338</v>
      </c>
      <c r="Q41">
        <v>0.40338276102740911</v>
      </c>
      <c r="R41">
        <v>0.35000798402900696</v>
      </c>
      <c r="T41">
        <v>-0.80642124701824058</v>
      </c>
      <c r="U41">
        <v>-1.1666314753525224</v>
      </c>
    </row>
    <row r="42" spans="1:21" x14ac:dyDescent="0.2">
      <c r="A42">
        <v>5</v>
      </c>
      <c r="B42">
        <v>3.5</v>
      </c>
      <c r="C42">
        <v>1.3</v>
      </c>
      <c r="D42">
        <v>0.3</v>
      </c>
      <c r="E42" s="1" t="s">
        <v>5</v>
      </c>
      <c r="G42">
        <v>-1.671633248206025</v>
      </c>
      <c r="I42" t="str" cm="1">
        <f t="array" ref="I42:K48">REGRESSION.STATS(iris[Sepal.Length], iris[Sepal.Width])</f>
        <v>Koef.</v>
      </c>
      <c r="J42">
        <v>6.5262225508944827</v>
      </c>
      <c r="K42">
        <v>-0.22336106112990003</v>
      </c>
      <c r="O42">
        <v>17.61841786700079</v>
      </c>
      <c r="Q42">
        <v>0.87789629505122857</v>
      </c>
      <c r="R42">
        <v>0.97543765206098132</v>
      </c>
      <c r="T42">
        <v>-1.262784416294781</v>
      </c>
      <c r="U42">
        <v>-1.3293469433663618</v>
      </c>
    </row>
    <row r="43" spans="1:21" x14ac:dyDescent="0.2">
      <c r="A43">
        <v>4.5</v>
      </c>
      <c r="B43">
        <v>2.2999999999999998</v>
      </c>
      <c r="C43">
        <v>1.3</v>
      </c>
      <c r="D43">
        <v>0.3</v>
      </c>
      <c r="E43" s="1" t="s">
        <v>5</v>
      </c>
      <c r="G43">
        <v>-2.0225915991701005</v>
      </c>
      <c r="I43" t="str">
        <v>se</v>
      </c>
      <c r="J43">
        <v>0.47889633984408736</v>
      </c>
      <c r="K43">
        <v>0.15508092994240771</v>
      </c>
      <c r="O43">
        <v>10.286950805927409</v>
      </c>
      <c r="Q43">
        <v>1.2089900535709222</v>
      </c>
      <c r="R43">
        <v>1.2218207938316255</v>
      </c>
      <c r="T43">
        <v>-0.85358795751157213</v>
      </c>
      <c r="U43">
        <v>-1.2006519127128785</v>
      </c>
    </row>
    <row r="44" spans="1:21" x14ac:dyDescent="0.2">
      <c r="A44">
        <v>4.4000000000000004</v>
      </c>
      <c r="B44">
        <v>3.2</v>
      </c>
      <c r="C44">
        <v>1.3</v>
      </c>
      <c r="D44">
        <v>0.2</v>
      </c>
      <c r="E44" s="1" t="s">
        <v>5</v>
      </c>
      <c r="G44">
        <v>-1.4699725852387981</v>
      </c>
      <c r="I44" t="str">
        <v>t</v>
      </c>
      <c r="J44">
        <v>13.627630883583706</v>
      </c>
      <c r="K44">
        <v>-1.4402870888951302</v>
      </c>
      <c r="O44">
        <v>16.260551101732446</v>
      </c>
      <c r="Q44">
        <v>-1.3407550336902161</v>
      </c>
      <c r="R44">
        <v>-1.1782542452469871</v>
      </c>
      <c r="T44">
        <v>-1.5833867842263332</v>
      </c>
      <c r="U44">
        <v>-1.4001990345814541</v>
      </c>
    </row>
    <row r="45" spans="1:21" x14ac:dyDescent="0.2">
      <c r="A45">
        <v>5</v>
      </c>
      <c r="B45">
        <v>3.5</v>
      </c>
      <c r="C45">
        <v>1.6</v>
      </c>
      <c r="D45">
        <v>0.6</v>
      </c>
      <c r="E45" s="1" t="s">
        <v>5</v>
      </c>
      <c r="G45">
        <v>-0.91958285253679684</v>
      </c>
      <c r="I45" t="str">
        <v>p(|t|)</v>
      </c>
      <c r="J45">
        <v>6.4697017016675887E-28</v>
      </c>
      <c r="K45">
        <v>0.15189826071144721</v>
      </c>
      <c r="O45">
        <v>17.61841786700079</v>
      </c>
      <c r="Q45">
        <v>0.73884684918521393</v>
      </c>
      <c r="R45">
        <v>0.77730101319745715</v>
      </c>
      <c r="T45">
        <v>-0.63310256609493998</v>
      </c>
      <c r="U45">
        <v>-1.0859921396125143</v>
      </c>
    </row>
    <row r="46" spans="1:21" x14ac:dyDescent="0.2">
      <c r="A46">
        <v>5.0999999999999996</v>
      </c>
      <c r="B46">
        <v>3.8</v>
      </c>
      <c r="C46">
        <v>1.9</v>
      </c>
      <c r="D46">
        <v>0.4</v>
      </c>
      <c r="E46" s="1" t="s">
        <v>5</v>
      </c>
      <c r="G46">
        <v>-0.98279161558532113</v>
      </c>
      <c r="I46" t="str">
        <v>r2/rse</v>
      </c>
      <c r="J46">
        <v>1.3822654141080493E-2</v>
      </c>
      <c r="K46">
        <v>0.8250966192296284</v>
      </c>
      <c r="O46">
        <v>19.476284632269135</v>
      </c>
      <c r="Q46">
        <v>1.2089900535709222</v>
      </c>
      <c r="R46">
        <v>1.2218207938316255</v>
      </c>
      <c r="T46">
        <v>-0.43991316567323374</v>
      </c>
      <c r="U46">
        <v>-0.77305276442739124</v>
      </c>
    </row>
    <row r="47" spans="1:21" x14ac:dyDescent="0.2">
      <c r="A47">
        <v>4.8</v>
      </c>
      <c r="B47">
        <v>3</v>
      </c>
      <c r="C47">
        <v>1.4</v>
      </c>
      <c r="D47">
        <v>0.3</v>
      </c>
      <c r="E47" s="1" t="s">
        <v>5</v>
      </c>
      <c r="G47">
        <v>-1.7611155118430677</v>
      </c>
      <c r="I47" t="str">
        <v>F Stat.</v>
      </c>
      <c r="J47">
        <v>2.0744268984379755</v>
      </c>
      <c r="K47">
        <v>148</v>
      </c>
      <c r="O47">
        <v>14.555306591553549</v>
      </c>
      <c r="Q47">
        <v>1.6448536269514715</v>
      </c>
      <c r="R47">
        <v>1.8300237103978827</v>
      </c>
      <c r="T47">
        <v>-0.45839780735990426</v>
      </c>
      <c r="U47">
        <v>-0.80899186292314651</v>
      </c>
    </row>
    <row r="48" spans="1:21" x14ac:dyDescent="0.2">
      <c r="A48">
        <v>5.0999999999999996</v>
      </c>
      <c r="B48">
        <v>3.8</v>
      </c>
      <c r="C48">
        <v>1.6</v>
      </c>
      <c r="D48">
        <v>0.2</v>
      </c>
      <c r="E48" s="1" t="s">
        <v>5</v>
      </c>
      <c r="G48">
        <v>-1.549242261962795</v>
      </c>
      <c r="I48" t="str">
        <v>SSres</v>
      </c>
      <c r="J48">
        <v>1.4122375358372921</v>
      </c>
      <c r="K48">
        <v>100.75609579749603</v>
      </c>
      <c r="O48">
        <v>19.476284632269135</v>
      </c>
      <c r="Q48">
        <v>0.32303773198182584</v>
      </c>
      <c r="R48">
        <v>0.21906147528333578</v>
      </c>
      <c r="T48">
        <v>-0.98085010261434624</v>
      </c>
      <c r="U48">
        <v>-1.2515295399812056</v>
      </c>
    </row>
    <row r="49" spans="1:21" x14ac:dyDescent="0.2">
      <c r="A49">
        <v>4.5999999999999996</v>
      </c>
      <c r="B49">
        <v>3.2</v>
      </c>
      <c r="C49">
        <v>1.4</v>
      </c>
      <c r="D49">
        <v>0.2</v>
      </c>
      <c r="E49" s="1" t="s">
        <v>5</v>
      </c>
      <c r="G49">
        <v>-1.6048888693074761</v>
      </c>
      <c r="O49">
        <v>16.060551101732443</v>
      </c>
      <c r="Q49">
        <v>1.6448536269514715</v>
      </c>
      <c r="R49">
        <v>1.8300237103978827</v>
      </c>
      <c r="T49">
        <v>-0.67448975019608193</v>
      </c>
      <c r="U49">
        <v>-1.1310631168332419</v>
      </c>
    </row>
    <row r="50" spans="1:21" x14ac:dyDescent="0.2">
      <c r="A50">
        <v>5.3</v>
      </c>
      <c r="B50">
        <v>3.7</v>
      </c>
      <c r="C50">
        <v>1.5</v>
      </c>
      <c r="D50">
        <v>0.2</v>
      </c>
      <c r="E50" s="1" t="s">
        <v>5</v>
      </c>
      <c r="G50">
        <v>-1.8852391738077889</v>
      </c>
      <c r="O50">
        <v>18.623662377179688</v>
      </c>
      <c r="Q50">
        <v>0.67448975019608193</v>
      </c>
      <c r="R50">
        <v>0.71182775882462068</v>
      </c>
      <c r="T50">
        <v>-0.76098392848895113</v>
      </c>
      <c r="U50">
        <v>-1.1627025415879999</v>
      </c>
    </row>
    <row r="51" spans="1:21" x14ac:dyDescent="0.2">
      <c r="A51">
        <v>5</v>
      </c>
      <c r="B51">
        <v>3.3</v>
      </c>
      <c r="C51">
        <v>1.4</v>
      </c>
      <c r="D51">
        <v>0.2</v>
      </c>
      <c r="E51" s="1" t="s">
        <v>5</v>
      </c>
      <c r="G51">
        <v>-1.9339756733938036</v>
      </c>
      <c r="O51">
        <v>16.313173356821892</v>
      </c>
      <c r="Q51">
        <v>1.3829941271006372</v>
      </c>
      <c r="R51">
        <v>1.5509039414408228</v>
      </c>
      <c r="T51">
        <v>-1.1918161716813944</v>
      </c>
      <c r="U51">
        <v>-1.322103496784939</v>
      </c>
    </row>
    <row r="52" spans="1:21" x14ac:dyDescent="0.2">
      <c r="A52">
        <v>7</v>
      </c>
      <c r="B52">
        <v>3.2</v>
      </c>
      <c r="C52">
        <v>4.7</v>
      </c>
      <c r="D52">
        <v>1.4</v>
      </c>
      <c r="E52" s="1" t="s">
        <v>6</v>
      </c>
      <c r="G52">
        <v>0.37007074792719408</v>
      </c>
      <c r="O52">
        <v>13.660551101732445</v>
      </c>
      <c r="Q52">
        <v>0.76098392848895102</v>
      </c>
      <c r="R52">
        <v>0.79452776466317476</v>
      </c>
      <c r="T52">
        <v>-1.4278559202758598</v>
      </c>
      <c r="U52">
        <v>-1.3498139877751754</v>
      </c>
    </row>
    <row r="53" spans="1:21" x14ac:dyDescent="0.2">
      <c r="A53">
        <v>6.4</v>
      </c>
      <c r="B53">
        <v>3.2</v>
      </c>
      <c r="C53">
        <v>4.5</v>
      </c>
      <c r="D53">
        <v>1.5</v>
      </c>
      <c r="E53" s="1" t="s">
        <v>6</v>
      </c>
      <c r="G53">
        <v>1.025503065356304</v>
      </c>
      <c r="O53">
        <v>14.260551101732444</v>
      </c>
      <c r="Q53">
        <v>0.10883503703752988</v>
      </c>
      <c r="R53">
        <v>-7.3851293649405444E-2</v>
      </c>
      <c r="T53">
        <v>-0.12566134685507402</v>
      </c>
      <c r="U53">
        <v>-3.9784376673946804E-2</v>
      </c>
    </row>
    <row r="54" spans="1:21" x14ac:dyDescent="0.2">
      <c r="A54">
        <v>6.9</v>
      </c>
      <c r="B54">
        <v>3.1</v>
      </c>
      <c r="C54">
        <v>4.9000000000000004</v>
      </c>
      <c r="D54">
        <v>1.5</v>
      </c>
      <c r="E54" s="1" t="s">
        <v>6</v>
      </c>
      <c r="G54">
        <v>0.71492473316791916</v>
      </c>
      <c r="O54">
        <v>13.107928846642997</v>
      </c>
      <c r="Q54">
        <v>0.23612801801200564</v>
      </c>
      <c r="R54">
        <v>0.12256846946910108</v>
      </c>
      <c r="T54">
        <v>0.17637416478086121</v>
      </c>
      <c r="U54">
        <v>0.33287987868100616</v>
      </c>
    </row>
    <row r="55" spans="1:21" x14ac:dyDescent="0.2">
      <c r="A55">
        <v>5.5</v>
      </c>
      <c r="B55">
        <v>2.2999999999999998</v>
      </c>
      <c r="C55">
        <v>4</v>
      </c>
      <c r="D55">
        <v>1.3</v>
      </c>
      <c r="E55" s="1" t="s">
        <v>6</v>
      </c>
      <c r="G55">
        <v>0.59066622389313039</v>
      </c>
      <c r="O55">
        <v>9.2869508059274093</v>
      </c>
      <c r="Q55">
        <v>-0.10883503703752988</v>
      </c>
      <c r="R55">
        <v>-0.25476118104721257</v>
      </c>
      <c r="T55">
        <v>2.506890825871106E-2</v>
      </c>
      <c r="U55">
        <v>0.15629193845194353</v>
      </c>
    </row>
    <row r="56" spans="1:21" x14ac:dyDescent="0.2">
      <c r="A56">
        <v>6.5</v>
      </c>
      <c r="B56">
        <v>2.8</v>
      </c>
      <c r="C56">
        <v>4.5999999999999996</v>
      </c>
      <c r="D56">
        <v>1.5</v>
      </c>
      <c r="E56" s="1" t="s">
        <v>6</v>
      </c>
      <c r="G56">
        <v>0.70693399763293563</v>
      </c>
      <c r="O56">
        <v>11.550062081374652</v>
      </c>
      <c r="Q56">
        <v>-1.7132494016280724</v>
      </c>
      <c r="R56">
        <v>-1.5056205171111647</v>
      </c>
      <c r="T56">
        <v>-4.178929781645381E-2</v>
      </c>
      <c r="U56">
        <v>8.5641310463319686E-2</v>
      </c>
    </row>
    <row r="57" spans="1:21" x14ac:dyDescent="0.2">
      <c r="A57">
        <v>5.7</v>
      </c>
      <c r="B57">
        <v>2.8</v>
      </c>
      <c r="C57">
        <v>4.5</v>
      </c>
      <c r="D57">
        <v>1.3</v>
      </c>
      <c r="E57" s="1" t="s">
        <v>6</v>
      </c>
      <c r="G57">
        <v>1.0706507831181034</v>
      </c>
      <c r="O57">
        <v>12.350062081374652</v>
      </c>
      <c r="Q57">
        <v>-0.80642124701824058</v>
      </c>
      <c r="R57">
        <v>-0.7647542160542169</v>
      </c>
      <c r="T57">
        <v>8.3555248042933294E-3</v>
      </c>
      <c r="U57">
        <v>0.15174858373979955</v>
      </c>
    </row>
    <row r="58" spans="1:21" x14ac:dyDescent="0.2">
      <c r="A58">
        <v>6.3</v>
      </c>
      <c r="B58">
        <v>3.3</v>
      </c>
      <c r="C58">
        <v>4.7</v>
      </c>
      <c r="D58">
        <v>1.6</v>
      </c>
      <c r="E58" s="1" t="s">
        <v>6</v>
      </c>
      <c r="G58">
        <v>1.5121834424243756</v>
      </c>
      <c r="O58">
        <v>15.013173356821891</v>
      </c>
      <c r="Q58">
        <v>-0.39433553210082262</v>
      </c>
      <c r="R58">
        <v>-0.50286119856287448</v>
      </c>
      <c r="T58">
        <v>0.26198457630007294</v>
      </c>
      <c r="U58">
        <v>0.35854986805026895</v>
      </c>
    </row>
    <row r="59" spans="1:21" x14ac:dyDescent="0.2">
      <c r="A59">
        <v>4.9000000000000004</v>
      </c>
      <c r="B59">
        <v>2.4</v>
      </c>
      <c r="C59">
        <v>3.3</v>
      </c>
      <c r="D59">
        <v>1</v>
      </c>
      <c r="E59" s="1" t="s">
        <v>6</v>
      </c>
      <c r="G59">
        <v>0.24919416041228803</v>
      </c>
      <c r="O59">
        <v>10.539573061016858</v>
      </c>
      <c r="Q59">
        <v>0.4307272992954575</v>
      </c>
      <c r="R59">
        <v>0.36895161123974352</v>
      </c>
      <c r="T59">
        <v>0.40338276102740911</v>
      </c>
      <c r="U59">
        <v>0.60959552954690499</v>
      </c>
    </row>
    <row r="60" spans="1:21" x14ac:dyDescent="0.2">
      <c r="A60">
        <v>6.6</v>
      </c>
      <c r="B60">
        <v>2.9</v>
      </c>
      <c r="C60">
        <v>4.5999999999999996</v>
      </c>
      <c r="D60">
        <v>1.3</v>
      </c>
      <c r="E60" s="1" t="s">
        <v>6</v>
      </c>
      <c r="G60">
        <v>0.30664769496309852</v>
      </c>
      <c r="O60">
        <v>12.102684336464099</v>
      </c>
      <c r="Q60">
        <v>-1.1918161716813944</v>
      </c>
      <c r="R60">
        <v>-1.0955542394084328</v>
      </c>
      <c r="T60">
        <v>-0.24472849025792423</v>
      </c>
      <c r="U60">
        <v>-0.10851211907880981</v>
      </c>
    </row>
    <row r="61" spans="1:21" x14ac:dyDescent="0.2">
      <c r="A61">
        <v>5.2</v>
      </c>
      <c r="B61">
        <v>2.7</v>
      </c>
      <c r="C61">
        <v>3.9</v>
      </c>
      <c r="D61">
        <v>1.4</v>
      </c>
      <c r="E61" s="1" t="s">
        <v>6</v>
      </c>
      <c r="G61">
        <v>1.2948350409082545</v>
      </c>
      <c r="O61">
        <v>12.197439826285205</v>
      </c>
      <c r="Q61">
        <v>-0.514837373499614</v>
      </c>
      <c r="R61">
        <v>-0.58384432865640967</v>
      </c>
      <c r="T61">
        <v>-0.2275449766411495</v>
      </c>
      <c r="U61">
        <v>-7.5845315655276149E-2</v>
      </c>
    </row>
    <row r="62" spans="1:21" x14ac:dyDescent="0.2">
      <c r="A62">
        <v>5</v>
      </c>
      <c r="B62">
        <v>2</v>
      </c>
      <c r="C62">
        <v>3.5</v>
      </c>
      <c r="D62">
        <v>1</v>
      </c>
      <c r="E62" s="1" t="s">
        <v>6</v>
      </c>
      <c r="G62">
        <v>-4.2911913797603063E-3</v>
      </c>
      <c r="O62">
        <v>7.8290840406590654</v>
      </c>
      <c r="Q62">
        <v>-0.47704042848944361</v>
      </c>
      <c r="R62">
        <v>-0.55282457721501033</v>
      </c>
      <c r="T62">
        <v>0.36738302291379804</v>
      </c>
      <c r="U62">
        <v>0.48601605680850879</v>
      </c>
    </row>
    <row r="63" spans="1:21" x14ac:dyDescent="0.2">
      <c r="A63">
        <v>5.9</v>
      </c>
      <c r="B63">
        <v>3</v>
      </c>
      <c r="C63">
        <v>4.2</v>
      </c>
      <c r="D63">
        <v>1.5</v>
      </c>
      <c r="E63" s="1" t="s">
        <v>6</v>
      </c>
      <c r="G63">
        <v>1.1884255257349938</v>
      </c>
      <c r="O63">
        <v>13.455306591553549</v>
      </c>
      <c r="Q63">
        <v>-2.7130518884727173</v>
      </c>
      <c r="R63">
        <v>-1.9828769249317508</v>
      </c>
      <c r="T63">
        <v>-0.36738302291379804</v>
      </c>
      <c r="U63">
        <v>-0.25263825896691366</v>
      </c>
    </row>
    <row r="64" spans="1:21" x14ac:dyDescent="0.2">
      <c r="A64">
        <v>6</v>
      </c>
      <c r="B64">
        <v>2.2000000000000002</v>
      </c>
      <c r="C64">
        <v>4</v>
      </c>
      <c r="D64">
        <v>1</v>
      </c>
      <c r="E64" s="1" t="s">
        <v>6</v>
      </c>
      <c r="G64">
        <v>-0.53704621989580481</v>
      </c>
      <c r="O64">
        <v>8.1343285508379637</v>
      </c>
      <c r="Q64">
        <v>3.3427934830255239E-2</v>
      </c>
      <c r="R64">
        <v>-0.14104142376725962</v>
      </c>
      <c r="T64">
        <v>0.29673783825989819</v>
      </c>
      <c r="U64">
        <v>0.4255139703531613</v>
      </c>
    </row>
    <row r="65" spans="1:21" x14ac:dyDescent="0.2">
      <c r="A65">
        <v>6.1</v>
      </c>
      <c r="B65">
        <v>2.9</v>
      </c>
      <c r="C65">
        <v>4.7</v>
      </c>
      <c r="D65">
        <v>1.4</v>
      </c>
      <c r="E65" s="1" t="s">
        <v>6</v>
      </c>
      <c r="G65">
        <v>1.0573311601861759</v>
      </c>
      <c r="O65">
        <v>12.602684336464099</v>
      </c>
      <c r="Q65">
        <v>-2.0537489106318225</v>
      </c>
      <c r="R65">
        <v>-1.8829501676274778</v>
      </c>
      <c r="T65">
        <v>-0.42157763531715681</v>
      </c>
      <c r="U65">
        <v>-0.55555093310433434</v>
      </c>
    </row>
    <row r="66" spans="1:21" x14ac:dyDescent="0.2">
      <c r="A66">
        <v>5.6</v>
      </c>
      <c r="B66">
        <v>2.9</v>
      </c>
      <c r="C66">
        <v>3.6</v>
      </c>
      <c r="D66">
        <v>1.3</v>
      </c>
      <c r="E66" s="1" t="s">
        <v>6</v>
      </c>
      <c r="G66">
        <v>0.65581053564988157</v>
      </c>
      <c r="O66">
        <v>13.102684336464099</v>
      </c>
      <c r="Q66">
        <v>-0.29673783825989802</v>
      </c>
      <c r="R66">
        <v>-0.42016119272432084</v>
      </c>
      <c r="T66">
        <v>0.22754497664114934</v>
      </c>
      <c r="U66">
        <v>0.3509766263446944</v>
      </c>
    </row>
    <row r="67" spans="1:21" x14ac:dyDescent="0.2">
      <c r="A67">
        <v>6.7</v>
      </c>
      <c r="B67">
        <v>3.1</v>
      </c>
      <c r="C67">
        <v>4.4000000000000004</v>
      </c>
      <c r="D67">
        <v>1.4</v>
      </c>
      <c r="E67" s="1" t="s">
        <v>6</v>
      </c>
      <c r="G67">
        <v>0.40390640421955659</v>
      </c>
      <c r="O67">
        <v>13.307928846642998</v>
      </c>
      <c r="Q67">
        <v>-0.14252331243751357</v>
      </c>
      <c r="R67">
        <v>-0.25647805679223201</v>
      </c>
      <c r="T67">
        <v>-8.35552480429347E-3</v>
      </c>
      <c r="U67">
        <v>0.12268091895663497</v>
      </c>
    </row>
    <row r="68" spans="1:21" x14ac:dyDescent="0.2">
      <c r="A68">
        <v>5.6</v>
      </c>
      <c r="B68">
        <v>3</v>
      </c>
      <c r="C68">
        <v>4.5</v>
      </c>
      <c r="D68">
        <v>1.5</v>
      </c>
      <c r="E68" s="1" t="s">
        <v>6</v>
      </c>
      <c r="G68">
        <v>1.683676673528959</v>
      </c>
      <c r="O68">
        <v>13.75530659155355</v>
      </c>
      <c r="Q68">
        <v>-2.506890825871106E-2</v>
      </c>
      <c r="R68">
        <v>-0.18928792667437666</v>
      </c>
      <c r="T68">
        <v>-0.10883503703752988</v>
      </c>
      <c r="U68">
        <v>-2.0546174160377278E-2</v>
      </c>
    </row>
    <row r="69" spans="1:21" x14ac:dyDescent="0.2">
      <c r="A69">
        <v>5.8</v>
      </c>
      <c r="B69">
        <v>2.7</v>
      </c>
      <c r="C69">
        <v>4.0999999999999996</v>
      </c>
      <c r="D69">
        <v>1</v>
      </c>
      <c r="E69" s="1" t="s">
        <v>6</v>
      </c>
      <c r="G69">
        <v>8.2603475603882259E-2</v>
      </c>
      <c r="O69">
        <v>11.597439826285203</v>
      </c>
      <c r="Q69">
        <v>0.1340875639919881</v>
      </c>
      <c r="R69">
        <v>-4.2831542208006057E-2</v>
      </c>
      <c r="T69">
        <v>0.514837373499614</v>
      </c>
      <c r="U69">
        <v>0.70710277105535679</v>
      </c>
    </row>
    <row r="70" spans="1:21" x14ac:dyDescent="0.2">
      <c r="A70">
        <v>6.2</v>
      </c>
      <c r="B70">
        <v>2.2000000000000002</v>
      </c>
      <c r="C70">
        <v>4.5</v>
      </c>
      <c r="D70">
        <v>1.5</v>
      </c>
      <c r="E70" s="1" t="s">
        <v>6</v>
      </c>
      <c r="G70">
        <v>0.51637110621957572</v>
      </c>
      <c r="O70">
        <v>7.9343285508379635</v>
      </c>
      <c r="Q70">
        <v>-0.74986945374065561</v>
      </c>
      <c r="R70">
        <v>-0.7492443403335175</v>
      </c>
      <c r="T70">
        <v>-0.3142471516333209</v>
      </c>
      <c r="U70">
        <v>-0.2032318816726201</v>
      </c>
    </row>
    <row r="71" spans="1:21" x14ac:dyDescent="0.2">
      <c r="A71">
        <v>5.6</v>
      </c>
      <c r="B71">
        <v>2.5</v>
      </c>
      <c r="C71">
        <v>3.9</v>
      </c>
      <c r="D71">
        <v>1.1000000000000001</v>
      </c>
      <c r="E71" s="1" t="s">
        <v>6</v>
      </c>
      <c r="G71">
        <v>0.19620940120564612</v>
      </c>
      <c r="O71">
        <v>10.492195316106306</v>
      </c>
      <c r="Q71">
        <v>-2.3263478740408408</v>
      </c>
      <c r="R71">
        <v>-1.9484234220003134</v>
      </c>
      <c r="T71">
        <v>-5.8521379455687417E-2</v>
      </c>
      <c r="U71">
        <v>4.3398757009555269E-2</v>
      </c>
    </row>
    <row r="72" spans="1:21" x14ac:dyDescent="0.2">
      <c r="A72">
        <v>5.9</v>
      </c>
      <c r="B72">
        <v>3.2</v>
      </c>
      <c r="C72">
        <v>4.8</v>
      </c>
      <c r="D72">
        <v>1.8</v>
      </c>
      <c r="E72" s="1" t="s">
        <v>6</v>
      </c>
      <c r="G72">
        <v>2.2775534610255317</v>
      </c>
      <c r="O72">
        <v>14.760551101732444</v>
      </c>
      <c r="Q72">
        <v>-1.2265281200366105</v>
      </c>
      <c r="R72">
        <v>-1.1110641151291323</v>
      </c>
      <c r="T72">
        <v>-0.26198457630007282</v>
      </c>
      <c r="U72">
        <v>-0.13863807611485468</v>
      </c>
    </row>
    <row r="73" spans="1:21" x14ac:dyDescent="0.2">
      <c r="A73">
        <v>6.1</v>
      </c>
      <c r="B73">
        <v>2.8</v>
      </c>
      <c r="C73">
        <v>4</v>
      </c>
      <c r="D73">
        <v>1.3</v>
      </c>
      <c r="E73" s="1" t="s">
        <v>6</v>
      </c>
      <c r="G73">
        <v>0.34523220346149586</v>
      </c>
      <c r="O73">
        <v>11.950062081374652</v>
      </c>
      <c r="Q73">
        <v>0.38532046640756784</v>
      </c>
      <c r="R73">
        <v>0.28625160540118993</v>
      </c>
      <c r="T73">
        <v>0.98085010261434624</v>
      </c>
      <c r="U73">
        <v>1.0447679195379673</v>
      </c>
    </row>
    <row r="74" spans="1:21" x14ac:dyDescent="0.2">
      <c r="A74">
        <v>6.3</v>
      </c>
      <c r="B74">
        <v>2.5</v>
      </c>
      <c r="C74">
        <v>4.9000000000000004</v>
      </c>
      <c r="D74">
        <v>1.5</v>
      </c>
      <c r="E74" s="1" t="s">
        <v>6</v>
      </c>
      <c r="G74">
        <v>0.88944555768588263</v>
      </c>
      <c r="O74">
        <v>9.7921953161063051</v>
      </c>
      <c r="Q74">
        <v>-0.54367278029882027</v>
      </c>
      <c r="R74">
        <v>-0.63380770730854563</v>
      </c>
      <c r="T74">
        <v>-0.15942590162832465</v>
      </c>
      <c r="U74">
        <v>-5.3907021272428128E-2</v>
      </c>
    </row>
    <row r="75" spans="1:21" x14ac:dyDescent="0.2">
      <c r="A75">
        <v>6.1</v>
      </c>
      <c r="B75">
        <v>2.8</v>
      </c>
      <c r="C75">
        <v>4.7</v>
      </c>
      <c r="D75">
        <v>1.2</v>
      </c>
      <c r="E75" s="1" t="s">
        <v>6</v>
      </c>
      <c r="G75">
        <v>0.61521846568899363</v>
      </c>
      <c r="O75">
        <v>11.950062081374652</v>
      </c>
      <c r="Q75">
        <v>-1.5010859460440247</v>
      </c>
      <c r="R75">
        <v>-1.340220505434057</v>
      </c>
      <c r="T75">
        <v>0.12566134685507416</v>
      </c>
      <c r="U75">
        <v>0.25552060231768831</v>
      </c>
    </row>
    <row r="76" spans="1:21" x14ac:dyDescent="0.2">
      <c r="A76">
        <v>6.4</v>
      </c>
      <c r="B76">
        <v>2.9</v>
      </c>
      <c r="C76">
        <v>4.3</v>
      </c>
      <c r="D76">
        <v>1.3</v>
      </c>
      <c r="E76" s="1" t="s">
        <v>6</v>
      </c>
      <c r="G76">
        <v>0.31139654716913334</v>
      </c>
      <c r="O76">
        <v>12.302684336464099</v>
      </c>
      <c r="Q76">
        <v>-0.54367278029882027</v>
      </c>
      <c r="R76">
        <v>-0.63380770730854563</v>
      </c>
      <c r="T76">
        <v>-2.506890825871106E-2</v>
      </c>
      <c r="U76">
        <v>9.9601169723905716E-2</v>
      </c>
    </row>
    <row r="77" spans="1:21" x14ac:dyDescent="0.2">
      <c r="A77">
        <v>6.6</v>
      </c>
      <c r="B77">
        <v>3</v>
      </c>
      <c r="C77">
        <v>4.4000000000000004</v>
      </c>
      <c r="D77">
        <v>1.4</v>
      </c>
      <c r="E77" s="1" t="s">
        <v>6</v>
      </c>
      <c r="G77">
        <v>0.43299320830588339</v>
      </c>
      <c r="O77">
        <v>12.75530659155355</v>
      </c>
      <c r="Q77">
        <v>-0.42157763531715681</v>
      </c>
      <c r="R77">
        <v>-0.51837107428357443</v>
      </c>
      <c r="T77">
        <v>-0.21042839424792467</v>
      </c>
      <c r="U77">
        <v>-7.3145223785997665E-2</v>
      </c>
    </row>
    <row r="78" spans="1:21" x14ac:dyDescent="0.2">
      <c r="A78">
        <v>6.8</v>
      </c>
      <c r="B78">
        <v>2.8</v>
      </c>
      <c r="C78">
        <v>4.8</v>
      </c>
      <c r="D78">
        <v>1.4</v>
      </c>
      <c r="E78" s="1" t="s">
        <v>6</v>
      </c>
      <c r="G78">
        <v>0.35150168020382466</v>
      </c>
      <c r="O78">
        <v>11.250062081374651</v>
      </c>
      <c r="Q78">
        <v>-0.2275449766411495</v>
      </c>
      <c r="R78">
        <v>-0.37019781407218377</v>
      </c>
      <c r="T78">
        <v>-9.2039486959116901E-2</v>
      </c>
      <c r="U78">
        <v>-4.0080635160867351E-3</v>
      </c>
    </row>
    <row r="79" spans="1:21" x14ac:dyDescent="0.2">
      <c r="A79">
        <v>6.7</v>
      </c>
      <c r="B79">
        <v>3</v>
      </c>
      <c r="C79">
        <v>5</v>
      </c>
      <c r="D79">
        <v>1.7</v>
      </c>
      <c r="E79" s="1" t="s">
        <v>6</v>
      </c>
      <c r="G79">
        <v>1.2802947517690759</v>
      </c>
      <c r="O79">
        <v>12.655306591553551</v>
      </c>
      <c r="Q79">
        <v>-0.87789629505122846</v>
      </c>
      <c r="R79">
        <v>-0.86296409761347037</v>
      </c>
      <c r="T79">
        <v>-0.14252331243751357</v>
      </c>
      <c r="U79">
        <v>-5.0342336072269595E-2</v>
      </c>
    </row>
    <row r="80" spans="1:21" x14ac:dyDescent="0.2">
      <c r="A80">
        <v>6</v>
      </c>
      <c r="B80">
        <v>2.9</v>
      </c>
      <c r="C80">
        <v>4.5</v>
      </c>
      <c r="D80">
        <v>1.5</v>
      </c>
      <c r="E80" s="1" t="s">
        <v>6</v>
      </c>
      <c r="G80">
        <v>1.2127634776152867</v>
      </c>
      <c r="O80">
        <v>12.702684336464099</v>
      </c>
      <c r="Q80">
        <v>-0.27064163977583461</v>
      </c>
      <c r="R80">
        <v>-0.40293444125860145</v>
      </c>
      <c r="T80">
        <v>0.34956302147213458</v>
      </c>
      <c r="U80">
        <v>0.47774877141441657</v>
      </c>
    </row>
    <row r="81" spans="1:21" x14ac:dyDescent="0.2">
      <c r="A81">
        <v>5.7</v>
      </c>
      <c r="B81">
        <v>2.6</v>
      </c>
      <c r="C81">
        <v>3.5</v>
      </c>
      <c r="D81">
        <v>1</v>
      </c>
      <c r="E81" s="1" t="s">
        <v>6</v>
      </c>
      <c r="G81">
        <v>-0.27881201589772164</v>
      </c>
      <c r="O81">
        <v>11.044817571195757</v>
      </c>
      <c r="Q81">
        <v>-0.24472849025792423</v>
      </c>
      <c r="R81">
        <v>-0.38742456553790322</v>
      </c>
      <c r="T81">
        <v>0.31424715163332073</v>
      </c>
      <c r="U81">
        <v>0.43935198912817386</v>
      </c>
    </row>
    <row r="82" spans="1:21" x14ac:dyDescent="0.2">
      <c r="A82">
        <v>5.5</v>
      </c>
      <c r="B82">
        <v>2.4</v>
      </c>
      <c r="C82">
        <v>3.8</v>
      </c>
      <c r="D82">
        <v>1.1000000000000001</v>
      </c>
      <c r="E82" s="1" t="s">
        <v>6</v>
      </c>
      <c r="G82">
        <v>0.16021248936065113</v>
      </c>
      <c r="O82">
        <v>9.9395730610168584</v>
      </c>
      <c r="Q82">
        <v>-0.98085010261434624</v>
      </c>
      <c r="R82">
        <v>-0.93015422773132395</v>
      </c>
      <c r="T82">
        <v>-0.40338276102740922</v>
      </c>
      <c r="U82">
        <v>-0.40872470134695199</v>
      </c>
    </row>
    <row r="83" spans="1:21" x14ac:dyDescent="0.2">
      <c r="A83">
        <v>5.5</v>
      </c>
      <c r="B83">
        <v>2.4</v>
      </c>
      <c r="C83">
        <v>3.7</v>
      </c>
      <c r="D83">
        <v>1</v>
      </c>
      <c r="E83" s="1" t="s">
        <v>6</v>
      </c>
      <c r="G83">
        <v>-9.0470975862424474E-2</v>
      </c>
      <c r="O83">
        <v>9.9395730610168584</v>
      </c>
      <c r="Q83">
        <v>-1.4050715603096353</v>
      </c>
      <c r="R83">
        <v>-1.2919740025269393</v>
      </c>
      <c r="T83">
        <v>-0.27931903444745415</v>
      </c>
      <c r="U83">
        <v>-0.15910512052366788</v>
      </c>
    </row>
    <row r="84" spans="1:21" x14ac:dyDescent="0.2">
      <c r="A84">
        <v>5.8</v>
      </c>
      <c r="B84">
        <v>2.7</v>
      </c>
      <c r="C84">
        <v>3.9</v>
      </c>
      <c r="D84">
        <v>1.2</v>
      </c>
      <c r="E84" s="1" t="s">
        <v>6</v>
      </c>
      <c r="G84">
        <v>0.32363554232474723</v>
      </c>
      <c r="O84">
        <v>11.597439826285203</v>
      </c>
      <c r="Q84">
        <v>-1.4050715603096353</v>
      </c>
      <c r="R84">
        <v>-1.2919740025269393</v>
      </c>
      <c r="T84">
        <v>-0.38532046640756784</v>
      </c>
      <c r="U84">
        <v>-0.30163816995216347</v>
      </c>
    </row>
    <row r="85" spans="1:21" x14ac:dyDescent="0.2">
      <c r="A85">
        <v>6</v>
      </c>
      <c r="B85">
        <v>2.7</v>
      </c>
      <c r="C85">
        <v>5.0999999999999996</v>
      </c>
      <c r="D85">
        <v>1.6</v>
      </c>
      <c r="E85" s="1" t="s">
        <v>6</v>
      </c>
      <c r="G85">
        <v>1.6470391306676255</v>
      </c>
      <c r="O85">
        <v>11.397439826285204</v>
      </c>
      <c r="Q85">
        <v>-0.74986945374065561</v>
      </c>
      <c r="R85">
        <v>-0.7492443403335175</v>
      </c>
      <c r="T85">
        <v>-0.17637416478086138</v>
      </c>
      <c r="U85">
        <v>-6.6186403028043447E-2</v>
      </c>
    </row>
    <row r="86" spans="1:21" x14ac:dyDescent="0.2">
      <c r="A86">
        <v>5.4</v>
      </c>
      <c r="B86">
        <v>3</v>
      </c>
      <c r="C86">
        <v>4.5</v>
      </c>
      <c r="D86">
        <v>1.5</v>
      </c>
      <c r="E86" s="1" t="s">
        <v>6</v>
      </c>
      <c r="G86">
        <v>1.8836766735289583</v>
      </c>
      <c r="O86">
        <v>13.955306591553549</v>
      </c>
      <c r="Q86">
        <v>-0.85358795751157213</v>
      </c>
      <c r="R86">
        <v>-0.81471759470635274</v>
      </c>
      <c r="T86">
        <v>0.49585034734745331</v>
      </c>
      <c r="U86">
        <v>0.68627147808217992</v>
      </c>
    </row>
    <row r="87" spans="1:21" x14ac:dyDescent="0.2">
      <c r="A87">
        <v>6</v>
      </c>
      <c r="B87">
        <v>3.4</v>
      </c>
      <c r="C87">
        <v>4.5</v>
      </c>
      <c r="D87">
        <v>1.6</v>
      </c>
      <c r="E87" s="1" t="s">
        <v>6</v>
      </c>
      <c r="G87">
        <v>1.7529292064754047</v>
      </c>
      <c r="O87">
        <v>15.965795611911339</v>
      </c>
      <c r="Q87">
        <v>0.1933732458926043</v>
      </c>
      <c r="R87">
        <v>2.2641712164829252E-2</v>
      </c>
      <c r="T87">
        <v>0.63310256609493998</v>
      </c>
      <c r="U87">
        <v>0.82081832808394595</v>
      </c>
    </row>
    <row r="88" spans="1:21" x14ac:dyDescent="0.2">
      <c r="A88">
        <v>6.7</v>
      </c>
      <c r="B88">
        <v>3.1</v>
      </c>
      <c r="C88">
        <v>4.7</v>
      </c>
      <c r="D88">
        <v>1.5</v>
      </c>
      <c r="E88" s="1" t="s">
        <v>6</v>
      </c>
      <c r="G88">
        <v>0.78475730130527577</v>
      </c>
      <c r="O88">
        <v>13.307928846642998</v>
      </c>
      <c r="Q88">
        <v>0.65365619155083965</v>
      </c>
      <c r="R88">
        <v>0.68080800738322189</v>
      </c>
      <c r="T88">
        <v>0.57296754849546372</v>
      </c>
      <c r="U88">
        <v>0.74647822285358589</v>
      </c>
    </row>
    <row r="89" spans="1:21" x14ac:dyDescent="0.2">
      <c r="A89">
        <v>6.3</v>
      </c>
      <c r="B89">
        <v>2.2999999999999998</v>
      </c>
      <c r="C89">
        <v>4.4000000000000004</v>
      </c>
      <c r="D89">
        <v>1.3</v>
      </c>
      <c r="E89" s="1" t="s">
        <v>6</v>
      </c>
      <c r="G89">
        <v>5.1001087618418595E-2</v>
      </c>
      <c r="O89">
        <v>8.4869508059274104</v>
      </c>
      <c r="Q89">
        <v>-2.506890825871106E-2</v>
      </c>
      <c r="R89">
        <v>-0.18928792667437666</v>
      </c>
      <c r="T89">
        <v>5.8521379455687417E-2</v>
      </c>
      <c r="U89">
        <v>0.19599718537432576</v>
      </c>
    </row>
    <row r="90" spans="1:21" x14ac:dyDescent="0.2">
      <c r="A90">
        <v>5.6</v>
      </c>
      <c r="B90">
        <v>3</v>
      </c>
      <c r="C90">
        <v>4.0999999999999996</v>
      </c>
      <c r="D90">
        <v>1.3</v>
      </c>
      <c r="E90" s="1" t="s">
        <v>6</v>
      </c>
      <c r="G90">
        <v>1.0521423112201642</v>
      </c>
      <c r="O90">
        <v>13.75530659155355</v>
      </c>
      <c r="Q90">
        <v>-1.8807936081512509</v>
      </c>
      <c r="R90">
        <v>-1.7675135346025066</v>
      </c>
      <c r="T90">
        <v>-0.34956302147213442</v>
      </c>
      <c r="U90">
        <v>-0.22120029743862316</v>
      </c>
    </row>
    <row r="91" spans="1:21" x14ac:dyDescent="0.2">
      <c r="A91">
        <v>5.5</v>
      </c>
      <c r="B91">
        <v>2.5</v>
      </c>
      <c r="C91">
        <v>4</v>
      </c>
      <c r="D91">
        <v>1.3</v>
      </c>
      <c r="E91" s="1" t="s">
        <v>6</v>
      </c>
      <c r="G91">
        <v>0.73249261572047608</v>
      </c>
      <c r="O91">
        <v>10.592195316106306</v>
      </c>
      <c r="Q91">
        <v>0.1340875639919881</v>
      </c>
      <c r="R91">
        <v>-4.2831542208006057E-2</v>
      </c>
      <c r="T91">
        <v>0.21042839424792484</v>
      </c>
      <c r="U91">
        <v>0.3480263620921582</v>
      </c>
    </row>
    <row r="92" spans="1:21" x14ac:dyDescent="0.2">
      <c r="A92">
        <v>5.5</v>
      </c>
      <c r="B92">
        <v>2.6</v>
      </c>
      <c r="C92">
        <v>4.4000000000000004</v>
      </c>
      <c r="D92">
        <v>1.2</v>
      </c>
      <c r="E92" s="1" t="s">
        <v>6</v>
      </c>
      <c r="G92">
        <v>0.87814092606768313</v>
      </c>
      <c r="O92">
        <v>11.244817571195757</v>
      </c>
      <c r="Q92">
        <v>-1.1584837810112794</v>
      </c>
      <c r="R92">
        <v>-1.0783274879427147</v>
      </c>
      <c r="T92">
        <v>4.1789297816453949E-2</v>
      </c>
      <c r="U92">
        <v>0.1662806462033278</v>
      </c>
    </row>
    <row r="93" spans="1:21" x14ac:dyDescent="0.2">
      <c r="A93">
        <v>6.1</v>
      </c>
      <c r="B93">
        <v>3</v>
      </c>
      <c r="C93">
        <v>4.5999999999999996</v>
      </c>
      <c r="D93">
        <v>1.4</v>
      </c>
      <c r="E93" s="1" t="s">
        <v>6</v>
      </c>
      <c r="G93">
        <v>1.063160640168527</v>
      </c>
      <c r="O93">
        <v>13.25530659155355</v>
      </c>
      <c r="Q93">
        <v>-0.90273479164386372</v>
      </c>
      <c r="R93">
        <v>-0.8646809733584887</v>
      </c>
      <c r="T93">
        <v>0.10883503703752988</v>
      </c>
      <c r="U93">
        <v>0.2490930399103555</v>
      </c>
    </row>
    <row r="94" spans="1:21" x14ac:dyDescent="0.2">
      <c r="A94">
        <v>5.8</v>
      </c>
      <c r="B94">
        <v>2.6</v>
      </c>
      <c r="C94">
        <v>4</v>
      </c>
      <c r="D94">
        <v>1.2</v>
      </c>
      <c r="E94" s="1" t="s">
        <v>6</v>
      </c>
      <c r="G94">
        <v>0.31780606234239617</v>
      </c>
      <c r="O94">
        <v>10.944817571195756</v>
      </c>
      <c r="Q94">
        <v>-6.6893275193709439E-2</v>
      </c>
      <c r="R94">
        <v>-0.20651467814009491</v>
      </c>
      <c r="T94">
        <v>0.24472849025792423</v>
      </c>
      <c r="U94">
        <v>0.35429113916159471</v>
      </c>
    </row>
    <row r="95" spans="1:21" x14ac:dyDescent="0.2">
      <c r="A95">
        <v>5</v>
      </c>
      <c r="B95">
        <v>2.2999999999999998</v>
      </c>
      <c r="C95">
        <v>3.3</v>
      </c>
      <c r="D95">
        <v>1</v>
      </c>
      <c r="E95" s="1" t="s">
        <v>6</v>
      </c>
      <c r="G95">
        <v>7.8280964498615546E-2</v>
      </c>
      <c r="O95">
        <v>9.7869508059274093</v>
      </c>
      <c r="Q95">
        <v>-1.0654625443443777</v>
      </c>
      <c r="R95">
        <v>-0.96289085491774218</v>
      </c>
      <c r="T95">
        <v>-0.1933732458926043</v>
      </c>
      <c r="U95">
        <v>-6.9500915844943764E-2</v>
      </c>
    </row>
    <row r="96" spans="1:21" x14ac:dyDescent="0.2">
      <c r="A96">
        <v>5.6</v>
      </c>
      <c r="B96">
        <v>2.7</v>
      </c>
      <c r="C96">
        <v>4.2</v>
      </c>
      <c r="D96">
        <v>1.3</v>
      </c>
      <c r="E96" s="1" t="s">
        <v>6</v>
      </c>
      <c r="G96">
        <v>0.90448643941046569</v>
      </c>
      <c r="O96">
        <v>11.797439826285204</v>
      </c>
      <c r="Q96">
        <v>-1.5833867842263332</v>
      </c>
      <c r="R96">
        <v>-1.3419373811790758</v>
      </c>
      <c r="T96">
        <v>-0.33185334643681658</v>
      </c>
      <c r="U96">
        <v>-0.20568956546310846</v>
      </c>
    </row>
    <row r="97" spans="1:21" x14ac:dyDescent="0.2">
      <c r="A97">
        <v>5.7</v>
      </c>
      <c r="B97">
        <v>3</v>
      </c>
      <c r="C97">
        <v>4.2</v>
      </c>
      <c r="D97">
        <v>1.2</v>
      </c>
      <c r="E97" s="1" t="s">
        <v>6</v>
      </c>
      <c r="G97">
        <v>0.83162627785973076</v>
      </c>
      <c r="O97">
        <v>13.655306591553551</v>
      </c>
      <c r="Q97">
        <v>-0.59277262069791836</v>
      </c>
      <c r="R97">
        <v>-0.68377108596068159</v>
      </c>
      <c r="T97">
        <v>0.14252331243751357</v>
      </c>
      <c r="U97">
        <v>0.2640725135352488</v>
      </c>
    </row>
    <row r="98" spans="1:21" x14ac:dyDescent="0.2">
      <c r="A98">
        <v>5.7</v>
      </c>
      <c r="B98">
        <v>2.9</v>
      </c>
      <c r="C98">
        <v>4.2</v>
      </c>
      <c r="D98">
        <v>1.3</v>
      </c>
      <c r="E98" s="1" t="s">
        <v>6</v>
      </c>
      <c r="G98">
        <v>0.94631283123781085</v>
      </c>
      <c r="O98">
        <v>13.0026843364641</v>
      </c>
      <c r="Q98">
        <v>9.2039486959116748E-2</v>
      </c>
      <c r="R98">
        <v>-7.556816939442372E-2</v>
      </c>
      <c r="T98">
        <v>9.2039486959116748E-2</v>
      </c>
      <c r="U98">
        <v>0.22264584425557454</v>
      </c>
    </row>
    <row r="99" spans="1:21" x14ac:dyDescent="0.2">
      <c r="A99">
        <v>6.2</v>
      </c>
      <c r="B99">
        <v>2.9</v>
      </c>
      <c r="C99">
        <v>4.3</v>
      </c>
      <c r="D99">
        <v>1.3</v>
      </c>
      <c r="E99" s="1" t="s">
        <v>6</v>
      </c>
      <c r="G99">
        <v>0.51139654716913352</v>
      </c>
      <c r="O99">
        <v>12.5026843364641</v>
      </c>
      <c r="Q99">
        <v>-0.15942590162832465</v>
      </c>
      <c r="R99">
        <v>-0.28921468397864963</v>
      </c>
      <c r="T99">
        <v>0.15942590162832465</v>
      </c>
      <c r="U99">
        <v>0.28785407076096181</v>
      </c>
    </row>
    <row r="100" spans="1:21" x14ac:dyDescent="0.2">
      <c r="A100">
        <v>5.0999999999999996</v>
      </c>
      <c r="B100">
        <v>2.5</v>
      </c>
      <c r="C100">
        <v>3</v>
      </c>
      <c r="D100">
        <v>1.1000000000000001</v>
      </c>
      <c r="E100" s="1" t="s">
        <v>6</v>
      </c>
      <c r="G100">
        <v>0.11045595782375095</v>
      </c>
      <c r="O100">
        <v>10.992195316106306</v>
      </c>
      <c r="Q100">
        <v>-0.33185334643681658</v>
      </c>
      <c r="R100">
        <v>-0.45289781991073852</v>
      </c>
      <c r="T100">
        <v>-7.5269862099829901E-2</v>
      </c>
      <c r="U100">
        <v>4.0570333242592044E-2</v>
      </c>
    </row>
    <row r="101" spans="1:21" x14ac:dyDescent="0.2">
      <c r="A101">
        <v>5.7</v>
      </c>
      <c r="B101">
        <v>2.8</v>
      </c>
      <c r="C101">
        <v>4.0999999999999996</v>
      </c>
      <c r="D101">
        <v>1.3</v>
      </c>
      <c r="E101" s="1" t="s">
        <v>6</v>
      </c>
      <c r="G101">
        <v>0.81031591939281622</v>
      </c>
      <c r="O101">
        <v>12.350062081374652</v>
      </c>
      <c r="Q101">
        <v>-1.0364333894937898</v>
      </c>
      <c r="R101">
        <v>-0.94738097919704345</v>
      </c>
      <c r="T101">
        <v>-0.29673783825989802</v>
      </c>
      <c r="U101">
        <v>-0.18739557902131385</v>
      </c>
    </row>
    <row r="102" spans="1:21" x14ac:dyDescent="0.2">
      <c r="A102">
        <v>6.3</v>
      </c>
      <c r="B102">
        <v>3.3</v>
      </c>
      <c r="C102">
        <v>6</v>
      </c>
      <c r="D102">
        <v>2.5</v>
      </c>
      <c r="E102" s="1" t="s">
        <v>7</v>
      </c>
      <c r="G102">
        <v>4.0286694931573477</v>
      </c>
      <c r="O102">
        <v>15.013173356821891</v>
      </c>
      <c r="Q102">
        <v>-0.39433553210082262</v>
      </c>
      <c r="R102">
        <v>-0.50286119856287448</v>
      </c>
      <c r="T102">
        <v>7.5269862099829901E-2</v>
      </c>
      <c r="U102">
        <v>0.21052924783785401</v>
      </c>
    </row>
    <row r="103" spans="1:21" x14ac:dyDescent="0.2">
      <c r="A103">
        <v>5.8</v>
      </c>
      <c r="B103">
        <v>2.7</v>
      </c>
      <c r="C103">
        <v>5.0999999999999996</v>
      </c>
      <c r="D103">
        <v>1.9</v>
      </c>
      <c r="E103" s="1" t="s">
        <v>7</v>
      </c>
      <c r="G103">
        <v>2.403838378542889</v>
      </c>
      <c r="O103">
        <v>11.597439826285203</v>
      </c>
      <c r="Q103">
        <v>0.4307272992954575</v>
      </c>
      <c r="R103">
        <v>0.36895161123974352</v>
      </c>
      <c r="T103">
        <v>2.7130518884727204</v>
      </c>
      <c r="U103">
        <v>2.0404135946157824</v>
      </c>
    </row>
    <row r="104" spans="1:21" x14ac:dyDescent="0.2">
      <c r="A104">
        <v>7.1</v>
      </c>
      <c r="B104">
        <v>3</v>
      </c>
      <c r="C104">
        <v>5.9</v>
      </c>
      <c r="D104">
        <v>2.1</v>
      </c>
      <c r="E104" s="1" t="s">
        <v>7</v>
      </c>
      <c r="G104">
        <v>2.2084471923179905</v>
      </c>
      <c r="O104">
        <v>12.25530659155355</v>
      </c>
      <c r="Q104">
        <v>-0.74986945374065561</v>
      </c>
      <c r="R104">
        <v>-0.7492443403335175</v>
      </c>
      <c r="T104">
        <v>1.1422903927149712</v>
      </c>
      <c r="U104">
        <v>1.1165707182369462</v>
      </c>
    </row>
    <row r="105" spans="1:21" x14ac:dyDescent="0.2">
      <c r="A105">
        <v>6.3</v>
      </c>
      <c r="B105">
        <v>2.9</v>
      </c>
      <c r="C105">
        <v>5.6</v>
      </c>
      <c r="D105">
        <v>1.8</v>
      </c>
      <c r="E105" s="1" t="s">
        <v>7</v>
      </c>
      <c r="G105">
        <v>2.1854836007350871</v>
      </c>
      <c r="O105">
        <v>12.402684336464098</v>
      </c>
      <c r="Q105">
        <v>-0.43991316567323374</v>
      </c>
      <c r="R105">
        <v>-0.5338809500042726</v>
      </c>
      <c r="T105">
        <v>0.90273479164386372</v>
      </c>
      <c r="U105">
        <v>1.00547563033674</v>
      </c>
    </row>
    <row r="106" spans="1:21" x14ac:dyDescent="0.2">
      <c r="A106">
        <v>6.5</v>
      </c>
      <c r="B106">
        <v>3</v>
      </c>
      <c r="C106">
        <v>5.8</v>
      </c>
      <c r="D106">
        <v>2.2000000000000002</v>
      </c>
      <c r="E106" s="1" t="s">
        <v>7</v>
      </c>
      <c r="G106">
        <v>2.928963225678423</v>
      </c>
      <c r="O106">
        <v>12.85530659155355</v>
      </c>
      <c r="Q106">
        <v>-0.36738302291379804</v>
      </c>
      <c r="R106">
        <v>-0.48563444709715675</v>
      </c>
      <c r="T106">
        <v>0.87789629505122857</v>
      </c>
      <c r="U106">
        <v>0.99241904229560562</v>
      </c>
    </row>
    <row r="107" spans="1:21" x14ac:dyDescent="0.2">
      <c r="A107">
        <v>7.6</v>
      </c>
      <c r="B107">
        <v>3</v>
      </c>
      <c r="C107">
        <v>6.6</v>
      </c>
      <c r="D107">
        <v>2.1</v>
      </c>
      <c r="E107" s="1" t="s">
        <v>7</v>
      </c>
      <c r="G107">
        <v>2.1640332038372421</v>
      </c>
      <c r="O107">
        <v>11.75530659155355</v>
      </c>
      <c r="Q107">
        <v>-0.1933732458926043</v>
      </c>
      <c r="R107">
        <v>-0.33746118688576615</v>
      </c>
      <c r="T107">
        <v>1.5273795175235878</v>
      </c>
      <c r="U107">
        <v>1.4151450407447972</v>
      </c>
    </row>
    <row r="108" spans="1:21" x14ac:dyDescent="0.2">
      <c r="A108">
        <v>4.9000000000000004</v>
      </c>
      <c r="B108">
        <v>2.5</v>
      </c>
      <c r="C108">
        <v>4.5</v>
      </c>
      <c r="D108">
        <v>1.7</v>
      </c>
      <c r="E108" s="1" t="s">
        <v>7</v>
      </c>
      <c r="G108">
        <v>2.4003101925441026</v>
      </c>
      <c r="O108">
        <v>11.192195316106305</v>
      </c>
      <c r="Q108">
        <v>-0.61281299101662734</v>
      </c>
      <c r="R108">
        <v>-0.69756408593636154</v>
      </c>
      <c r="T108">
        <v>0.82977383532890403</v>
      </c>
      <c r="U108">
        <v>0.98022282313699172</v>
      </c>
    </row>
    <row r="109" spans="1:21" x14ac:dyDescent="0.2">
      <c r="A109">
        <v>7.3</v>
      </c>
      <c r="B109">
        <v>2.9</v>
      </c>
      <c r="C109">
        <v>6.3</v>
      </c>
      <c r="D109">
        <v>1.8</v>
      </c>
      <c r="E109" s="1" t="s">
        <v>7</v>
      </c>
      <c r="G109">
        <v>1.6410696122543422</v>
      </c>
      <c r="O109">
        <v>11.402684336464098</v>
      </c>
      <c r="Q109">
        <v>-0.92814312277405653</v>
      </c>
      <c r="R109">
        <v>-0.88190772482420809</v>
      </c>
      <c r="T109">
        <v>1.09541849892971</v>
      </c>
      <c r="U109">
        <v>1.1145646700561838</v>
      </c>
    </row>
    <row r="110" spans="1:21" x14ac:dyDescent="0.2">
      <c r="A110">
        <v>6.7</v>
      </c>
      <c r="B110">
        <v>2.5</v>
      </c>
      <c r="C110">
        <v>5.8</v>
      </c>
      <c r="D110">
        <v>1.8</v>
      </c>
      <c r="E110" s="1" t="s">
        <v>7</v>
      </c>
      <c r="G110">
        <v>1.6319982489430407</v>
      </c>
      <c r="O110">
        <v>9.3921953161063065</v>
      </c>
      <c r="Q110">
        <v>-0.82977383532890403</v>
      </c>
      <c r="R110">
        <v>-0.81300071896133452</v>
      </c>
      <c r="T110">
        <v>0.47704042848944361</v>
      </c>
      <c r="U110">
        <v>0.68287734252438526</v>
      </c>
    </row>
    <row r="111" spans="1:21" x14ac:dyDescent="0.2">
      <c r="A111">
        <v>7.2</v>
      </c>
      <c r="B111">
        <v>3.6</v>
      </c>
      <c r="C111">
        <v>6.1</v>
      </c>
      <c r="D111">
        <v>2.5</v>
      </c>
      <c r="E111" s="1" t="s">
        <v>7</v>
      </c>
      <c r="G111">
        <v>3.4064927968296876</v>
      </c>
      <c r="O111">
        <v>16.071040122090238</v>
      </c>
      <c r="Q111">
        <v>-1.6448536269514726</v>
      </c>
      <c r="R111">
        <v>-1.4711670141797277</v>
      </c>
      <c r="T111">
        <v>0.45839780735990404</v>
      </c>
      <c r="U111">
        <v>0.67771956686461843</v>
      </c>
    </row>
    <row r="112" spans="1:21" x14ac:dyDescent="0.2">
      <c r="A112">
        <v>6.5</v>
      </c>
      <c r="B112">
        <v>3.2</v>
      </c>
      <c r="C112">
        <v>5.0999999999999996</v>
      </c>
      <c r="D112">
        <v>2</v>
      </c>
      <c r="E112" s="1" t="s">
        <v>7</v>
      </c>
      <c r="G112">
        <v>2.2440041074030077</v>
      </c>
      <c r="O112">
        <v>14.160551101732445</v>
      </c>
      <c r="Q112">
        <v>0.69562027304633833</v>
      </c>
      <c r="R112">
        <v>0.71526151031465957</v>
      </c>
      <c r="T112">
        <v>1.8807936081512504</v>
      </c>
      <c r="U112">
        <v>1.686657746650245</v>
      </c>
    </row>
    <row r="113" spans="1:21" x14ac:dyDescent="0.2">
      <c r="A113">
        <v>6.4</v>
      </c>
      <c r="B113">
        <v>2.7</v>
      </c>
      <c r="C113">
        <v>5.3</v>
      </c>
      <c r="D113">
        <v>1.9</v>
      </c>
      <c r="E113" s="1" t="s">
        <v>7</v>
      </c>
      <c r="G113">
        <v>1.934005810405532</v>
      </c>
      <c r="O113">
        <v>10.997439826285204</v>
      </c>
      <c r="Q113">
        <v>0.21042839424792484</v>
      </c>
      <c r="R113">
        <v>8.9831842282683427E-2</v>
      </c>
      <c r="T113">
        <v>0.92814312277405653</v>
      </c>
      <c r="U113">
        <v>1.0256925023622949</v>
      </c>
    </row>
    <row r="114" spans="1:21" x14ac:dyDescent="0.2">
      <c r="A114">
        <v>6.8</v>
      </c>
      <c r="B114">
        <v>3</v>
      </c>
      <c r="C114">
        <v>5.5</v>
      </c>
      <c r="D114">
        <v>2.1</v>
      </c>
      <c r="E114" s="1" t="s">
        <v>7</v>
      </c>
      <c r="G114">
        <v>2.2481123285927032</v>
      </c>
      <c r="O114">
        <v>12.555306591553549</v>
      </c>
      <c r="Q114">
        <v>-1.0082523471706801</v>
      </c>
      <c r="R114">
        <v>-0.94566410345202401</v>
      </c>
      <c r="T114">
        <v>0.65365619155083965</v>
      </c>
      <c r="U114">
        <v>0.84943435725738448</v>
      </c>
    </row>
    <row r="115" spans="1:21" x14ac:dyDescent="0.2">
      <c r="A115">
        <v>5.7</v>
      </c>
      <c r="B115">
        <v>2.5</v>
      </c>
      <c r="C115">
        <v>5</v>
      </c>
      <c r="D115">
        <v>2</v>
      </c>
      <c r="E115" s="1" t="s">
        <v>7</v>
      </c>
      <c r="G115">
        <v>2.4825280200759741</v>
      </c>
      <c r="O115">
        <v>10.392195316106307</v>
      </c>
      <c r="Q115">
        <v>-0.3142471516333209</v>
      </c>
      <c r="R115">
        <v>-0.43567106844501968</v>
      </c>
      <c r="T115">
        <v>0.95416525314619549</v>
      </c>
      <c r="U115">
        <v>1.0280283456672095</v>
      </c>
    </row>
    <row r="116" spans="1:21" x14ac:dyDescent="0.2">
      <c r="A116">
        <v>5.8</v>
      </c>
      <c r="B116">
        <v>2.8</v>
      </c>
      <c r="C116">
        <v>5.0999999999999996</v>
      </c>
      <c r="D116">
        <v>2.4</v>
      </c>
      <c r="E116" s="1" t="s">
        <v>7</v>
      </c>
      <c r="G116">
        <v>3.4027503209153318</v>
      </c>
      <c r="O116">
        <v>12.250062081374651</v>
      </c>
      <c r="Q116">
        <v>-1.262784416294781</v>
      </c>
      <c r="R116">
        <v>-1.1438007423155498</v>
      </c>
      <c r="T116">
        <v>1.1918161716813944</v>
      </c>
      <c r="U116">
        <v>1.1613119003335202</v>
      </c>
    </row>
    <row r="117" spans="1:21" x14ac:dyDescent="0.2">
      <c r="A117">
        <v>6.4</v>
      </c>
      <c r="B117">
        <v>3.2</v>
      </c>
      <c r="C117">
        <v>5.3</v>
      </c>
      <c r="D117">
        <v>2.2999999999999998</v>
      </c>
      <c r="E117" s="1" t="s">
        <v>7</v>
      </c>
      <c r="G117">
        <v>3.0309707871409124</v>
      </c>
      <c r="O117">
        <v>14.260551101732444</v>
      </c>
      <c r="Q117">
        <v>-0.45839780735990426</v>
      </c>
      <c r="R117">
        <v>-0.53559782574929271</v>
      </c>
      <c r="T117">
        <v>1.7907505531699297</v>
      </c>
      <c r="U117">
        <v>1.6845298579839099</v>
      </c>
    </row>
    <row r="118" spans="1:21" x14ac:dyDescent="0.2">
      <c r="A118">
        <v>6.5</v>
      </c>
      <c r="B118">
        <v>3</v>
      </c>
      <c r="C118">
        <v>5.5</v>
      </c>
      <c r="D118">
        <v>1.8</v>
      </c>
      <c r="E118" s="1" t="s">
        <v>7</v>
      </c>
      <c r="G118">
        <v>1.9913130807174397</v>
      </c>
      <c r="O118">
        <v>12.85530659155355</v>
      </c>
      <c r="Q118">
        <v>0.23612801801200564</v>
      </c>
      <c r="R118">
        <v>0.12256846946910108</v>
      </c>
      <c r="T118">
        <v>1.6448536269514715</v>
      </c>
      <c r="U118">
        <v>1.4731442741089726</v>
      </c>
    </row>
    <row r="119" spans="1:21" x14ac:dyDescent="0.2">
      <c r="A119">
        <v>7.7</v>
      </c>
      <c r="B119">
        <v>3.8</v>
      </c>
      <c r="C119">
        <v>6.7</v>
      </c>
      <c r="D119">
        <v>2.2000000000000002</v>
      </c>
      <c r="E119" s="1" t="s">
        <v>7</v>
      </c>
      <c r="G119">
        <v>2.8820222363697026</v>
      </c>
      <c r="O119">
        <v>16.876284632269133</v>
      </c>
      <c r="Q119">
        <v>-0.1933732458926043</v>
      </c>
      <c r="R119">
        <v>-0.33746118688576615</v>
      </c>
      <c r="T119">
        <v>0.67448975019608193</v>
      </c>
      <c r="U119">
        <v>0.88201799808391723</v>
      </c>
    </row>
    <row r="120" spans="1:21" x14ac:dyDescent="0.2">
      <c r="A120">
        <v>7.7</v>
      </c>
      <c r="B120">
        <v>2.6</v>
      </c>
      <c r="C120">
        <v>6.9</v>
      </c>
      <c r="D120">
        <v>2.2999999999999998</v>
      </c>
      <c r="E120" s="1" t="s">
        <v>7</v>
      </c>
      <c r="G120">
        <v>2.346831066560024</v>
      </c>
      <c r="O120">
        <v>9.0448175711957575</v>
      </c>
      <c r="Q120">
        <v>0.90273479164386372</v>
      </c>
      <c r="R120">
        <v>0.9788714035510202</v>
      </c>
      <c r="T120">
        <v>1.4757910281791713</v>
      </c>
      <c r="U120">
        <v>1.3884554370112261</v>
      </c>
    </row>
    <row r="121" spans="1:21" x14ac:dyDescent="0.2">
      <c r="A121">
        <v>6</v>
      </c>
      <c r="B121">
        <v>2.2000000000000002</v>
      </c>
      <c r="C121">
        <v>5</v>
      </c>
      <c r="D121">
        <v>1.5</v>
      </c>
      <c r="E121" s="1" t="s">
        <v>7</v>
      </c>
      <c r="G121">
        <v>1.0417896858761839</v>
      </c>
      <c r="O121">
        <v>8.1343285508379637</v>
      </c>
      <c r="Q121">
        <v>-1.7907505531699293</v>
      </c>
      <c r="R121">
        <v>-1.5848867714596795</v>
      </c>
      <c r="T121">
        <v>1.0654625443443777</v>
      </c>
      <c r="U121">
        <v>1.0841576270527757</v>
      </c>
    </row>
    <row r="122" spans="1:21" x14ac:dyDescent="0.2">
      <c r="A122">
        <v>6.9</v>
      </c>
      <c r="B122">
        <v>3.2</v>
      </c>
      <c r="C122">
        <v>5.7</v>
      </c>
      <c r="D122">
        <v>2.2999999999999998</v>
      </c>
      <c r="E122" s="1" t="s">
        <v>7</v>
      </c>
      <c r="G122">
        <v>2.7913056508662013</v>
      </c>
      <c r="O122">
        <v>13.760551101732444</v>
      </c>
      <c r="Q122">
        <v>-2.0537489106318225</v>
      </c>
      <c r="R122">
        <v>-1.8829501676274778</v>
      </c>
      <c r="T122">
        <v>0.1933732458926043</v>
      </c>
      <c r="U122">
        <v>0.34214008930366319</v>
      </c>
    </row>
    <row r="123" spans="1:21" x14ac:dyDescent="0.2">
      <c r="A123">
        <v>5.6</v>
      </c>
      <c r="B123">
        <v>2.8</v>
      </c>
      <c r="C123">
        <v>4.9000000000000004</v>
      </c>
      <c r="D123">
        <v>2</v>
      </c>
      <c r="E123" s="1" t="s">
        <v>7</v>
      </c>
      <c r="G123">
        <v>2.7301838918856713</v>
      </c>
      <c r="O123">
        <v>12.450062081374652</v>
      </c>
      <c r="Q123">
        <v>0.15942590162832465</v>
      </c>
      <c r="R123">
        <v>-4.1114666462987781E-2</v>
      </c>
      <c r="T123">
        <v>1.4278559202758598</v>
      </c>
      <c r="U123">
        <v>1.3368760017499146</v>
      </c>
    </row>
    <row r="124" spans="1:21" x14ac:dyDescent="0.2">
      <c r="A124">
        <v>7.7</v>
      </c>
      <c r="B124">
        <v>2.8</v>
      </c>
      <c r="C124">
        <v>6.7</v>
      </c>
      <c r="D124">
        <v>2</v>
      </c>
      <c r="E124" s="1" t="s">
        <v>7</v>
      </c>
      <c r="G124">
        <v>1.8016907786494647</v>
      </c>
      <c r="O124">
        <v>10.350062081374652</v>
      </c>
      <c r="Q124">
        <v>-0.34956302147213442</v>
      </c>
      <c r="R124">
        <v>-0.4701245713764568</v>
      </c>
      <c r="T124">
        <v>1.3407550336902161</v>
      </c>
      <c r="U124">
        <v>1.3021235274047238</v>
      </c>
    </row>
    <row r="125" spans="1:21" x14ac:dyDescent="0.2">
      <c r="A125">
        <v>6.3</v>
      </c>
      <c r="B125">
        <v>2.7</v>
      </c>
      <c r="C125">
        <v>4.9000000000000004</v>
      </c>
      <c r="D125">
        <v>1.8</v>
      </c>
      <c r="E125" s="1" t="s">
        <v>7</v>
      </c>
      <c r="G125">
        <v>1.5880711973884907</v>
      </c>
      <c r="O125">
        <v>11.097439826285203</v>
      </c>
      <c r="Q125">
        <v>-1.300781274438926</v>
      </c>
      <c r="R125">
        <v>-1.1575937422912299</v>
      </c>
      <c r="T125">
        <v>0.61281299101662734</v>
      </c>
      <c r="U125">
        <v>0.77420296956040091</v>
      </c>
    </row>
    <row r="126" spans="1:21" x14ac:dyDescent="0.2">
      <c r="A126">
        <v>6.7</v>
      </c>
      <c r="B126">
        <v>3.3</v>
      </c>
      <c r="C126">
        <v>5.7</v>
      </c>
      <c r="D126">
        <v>2.1</v>
      </c>
      <c r="E126" s="1" t="s">
        <v>7</v>
      </c>
      <c r="G126">
        <v>2.691019348196364</v>
      </c>
      <c r="O126">
        <v>14.613173356821893</v>
      </c>
      <c r="Q126">
        <v>-0.95416525314619549</v>
      </c>
      <c r="R126">
        <v>-0.91292747626560633</v>
      </c>
      <c r="T126">
        <v>0.43991316567323396</v>
      </c>
      <c r="U126">
        <v>0.6527436211838723</v>
      </c>
    </row>
    <row r="127" spans="1:21" x14ac:dyDescent="0.2">
      <c r="A127">
        <v>7.2</v>
      </c>
      <c r="B127">
        <v>3.2</v>
      </c>
      <c r="C127">
        <v>6</v>
      </c>
      <c r="D127">
        <v>1.8</v>
      </c>
      <c r="E127" s="1" t="s">
        <v>7</v>
      </c>
      <c r="G127">
        <v>1.7585580522013933</v>
      </c>
      <c r="O127">
        <v>13.460551101732445</v>
      </c>
      <c r="Q127">
        <v>0.35845879325119384</v>
      </c>
      <c r="R127">
        <v>0.23800510249407289</v>
      </c>
      <c r="T127">
        <v>1.300781274438926</v>
      </c>
      <c r="U127">
        <v>1.2798554378977232</v>
      </c>
    </row>
    <row r="128" spans="1:21" x14ac:dyDescent="0.2">
      <c r="A128">
        <v>6.2</v>
      </c>
      <c r="B128">
        <v>2.8</v>
      </c>
      <c r="C128">
        <v>4.8</v>
      </c>
      <c r="D128">
        <v>1.8</v>
      </c>
      <c r="E128" s="1" t="s">
        <v>7</v>
      </c>
      <c r="G128">
        <v>1.6939006773708414</v>
      </c>
      <c r="O128">
        <v>11.850062081374652</v>
      </c>
      <c r="Q128">
        <v>5.8521379455687417E-2</v>
      </c>
      <c r="R128">
        <v>-0.13932454802224076</v>
      </c>
      <c r="T128">
        <v>0.59277262069791847</v>
      </c>
      <c r="U128">
        <v>0.74967865948937984</v>
      </c>
    </row>
    <row r="129" spans="1:21" x14ac:dyDescent="0.2">
      <c r="A129">
        <v>6.1</v>
      </c>
      <c r="B129">
        <v>3</v>
      </c>
      <c r="C129">
        <v>4.9000000000000004</v>
      </c>
      <c r="D129">
        <v>1.8</v>
      </c>
      <c r="E129" s="1" t="s">
        <v>7</v>
      </c>
      <c r="G129">
        <v>2.0008107851295112</v>
      </c>
      <c r="O129">
        <v>13.25530659155355</v>
      </c>
      <c r="Q129">
        <v>-0.57296754849546372</v>
      </c>
      <c r="R129">
        <v>-0.66654433449496331</v>
      </c>
      <c r="T129">
        <v>0.53401185318210209</v>
      </c>
      <c r="U129">
        <v>0.71291591251506725</v>
      </c>
    </row>
    <row r="130" spans="1:21" x14ac:dyDescent="0.2">
      <c r="A130">
        <v>6.4</v>
      </c>
      <c r="B130">
        <v>2.8</v>
      </c>
      <c r="C130">
        <v>5.6</v>
      </c>
      <c r="D130">
        <v>2.1</v>
      </c>
      <c r="E130" s="1" t="s">
        <v>7</v>
      </c>
      <c r="G130">
        <v>2.5713696526966778</v>
      </c>
      <c r="O130">
        <v>11.650062081374651</v>
      </c>
      <c r="Q130">
        <v>-6.6893275193709439E-2</v>
      </c>
      <c r="R130">
        <v>-0.20651467814009491</v>
      </c>
      <c r="T130">
        <v>0.69562027304633833</v>
      </c>
      <c r="U130">
        <v>0.88741818182247523</v>
      </c>
    </row>
    <row r="131" spans="1:21" x14ac:dyDescent="0.2">
      <c r="A131">
        <v>7.2</v>
      </c>
      <c r="B131">
        <v>3</v>
      </c>
      <c r="C131">
        <v>5.8</v>
      </c>
      <c r="D131">
        <v>1.6</v>
      </c>
      <c r="E131" s="1" t="s">
        <v>7</v>
      </c>
      <c r="G131">
        <v>1.1153647299278964</v>
      </c>
      <c r="O131">
        <v>12.155306591553551</v>
      </c>
      <c r="Q131">
        <v>-0.68501677847510223</v>
      </c>
      <c r="R131">
        <v>-0.73201758886779922</v>
      </c>
      <c r="T131">
        <v>1.2627844162947799</v>
      </c>
      <c r="U131">
        <v>1.2118252790374835</v>
      </c>
    </row>
    <row r="132" spans="1:21" x14ac:dyDescent="0.2">
      <c r="A132">
        <v>7.4</v>
      </c>
      <c r="B132">
        <v>2.8</v>
      </c>
      <c r="C132">
        <v>6.1</v>
      </c>
      <c r="D132">
        <v>1.9</v>
      </c>
      <c r="E132" s="1" t="s">
        <v>7</v>
      </c>
      <c r="G132">
        <v>1.5255887337697782</v>
      </c>
      <c r="O132">
        <v>10.650062081374651</v>
      </c>
      <c r="Q132">
        <v>-0.49585034734745354</v>
      </c>
      <c r="R132">
        <v>-0.56661757719069028</v>
      </c>
      <c r="T132">
        <v>0.27931903444745415</v>
      </c>
      <c r="U132">
        <v>0.38397322489238067</v>
      </c>
    </row>
    <row r="133" spans="1:21" x14ac:dyDescent="0.2">
      <c r="A133">
        <v>7.9</v>
      </c>
      <c r="B133">
        <v>3.8</v>
      </c>
      <c r="C133">
        <v>6.4</v>
      </c>
      <c r="D133">
        <v>2</v>
      </c>
      <c r="E133" s="1" t="s">
        <v>7</v>
      </c>
      <c r="G133">
        <v>2.1155715899922267</v>
      </c>
      <c r="O133">
        <v>16.67628463226913</v>
      </c>
      <c r="Q133">
        <v>-1.0954184989297102</v>
      </c>
      <c r="R133">
        <v>-1.059383860731977</v>
      </c>
      <c r="T133">
        <v>0.42157763531715681</v>
      </c>
      <c r="U133">
        <v>0.61721748040926994</v>
      </c>
    </row>
    <row r="134" spans="1:21" x14ac:dyDescent="0.2">
      <c r="A134">
        <v>6.4</v>
      </c>
      <c r="B134">
        <v>2.8</v>
      </c>
      <c r="C134">
        <v>5.6</v>
      </c>
      <c r="D134">
        <v>2.2000000000000002</v>
      </c>
      <c r="E134" s="1" t="s">
        <v>7</v>
      </c>
      <c r="G134">
        <v>2.7569694019884334</v>
      </c>
      <c r="O134">
        <v>11.650062081374651</v>
      </c>
      <c r="Q134">
        <v>0.82977383532890403</v>
      </c>
      <c r="R134">
        <v>0.91339814917818374</v>
      </c>
      <c r="T134">
        <v>0.76098392848895102</v>
      </c>
      <c r="U134">
        <v>0.9526686260725401</v>
      </c>
    </row>
    <row r="135" spans="1:21" x14ac:dyDescent="0.2">
      <c r="A135">
        <v>6.3</v>
      </c>
      <c r="B135">
        <v>2.8</v>
      </c>
      <c r="C135">
        <v>5.0999999999999996</v>
      </c>
      <c r="D135">
        <v>1.5</v>
      </c>
      <c r="E135" s="1" t="s">
        <v>7</v>
      </c>
      <c r="G135">
        <v>1.2323525772895438</v>
      </c>
      <c r="O135">
        <v>11.750062081374651</v>
      </c>
      <c r="Q135">
        <v>-0.68501677847510223</v>
      </c>
      <c r="R135">
        <v>-0.73201758886779922</v>
      </c>
      <c r="T135">
        <v>1.3829941271006372</v>
      </c>
      <c r="U135">
        <v>1.3173531734128763</v>
      </c>
    </row>
    <row r="136" spans="1:21" x14ac:dyDescent="0.2">
      <c r="A136">
        <v>6.1</v>
      </c>
      <c r="B136">
        <v>2.6</v>
      </c>
      <c r="C136">
        <v>5.6</v>
      </c>
      <c r="D136">
        <v>1.4</v>
      </c>
      <c r="E136" s="1" t="s">
        <v>7</v>
      </c>
      <c r="G136">
        <v>1.4303450158270534</v>
      </c>
      <c r="O136">
        <v>10.644817571195757</v>
      </c>
      <c r="Q136">
        <v>-0.63310256609493998</v>
      </c>
      <c r="R136">
        <v>-0.69928096168138154</v>
      </c>
      <c r="T136">
        <v>0.33185334643681658</v>
      </c>
      <c r="U136">
        <v>0.45048991603390742</v>
      </c>
    </row>
    <row r="137" spans="1:21" x14ac:dyDescent="0.2">
      <c r="A137">
        <v>7.7</v>
      </c>
      <c r="B137">
        <v>3</v>
      </c>
      <c r="C137">
        <v>6.1</v>
      </c>
      <c r="D137">
        <v>2.2999999999999998</v>
      </c>
      <c r="E137" s="1" t="s">
        <v>7</v>
      </c>
      <c r="G137">
        <v>2.1098141227641412</v>
      </c>
      <c r="O137">
        <v>11.655306591553551</v>
      </c>
      <c r="Q137">
        <v>-1.1263911290388013</v>
      </c>
      <c r="R137">
        <v>-1.0611007364769951</v>
      </c>
      <c r="T137">
        <v>0.38532046640756784</v>
      </c>
      <c r="U137">
        <v>0.56306401821261587</v>
      </c>
    </row>
    <row r="138" spans="1:21" x14ac:dyDescent="0.2">
      <c r="A138">
        <v>6.3</v>
      </c>
      <c r="B138">
        <v>3.4</v>
      </c>
      <c r="C138">
        <v>5.6</v>
      </c>
      <c r="D138">
        <v>2.4</v>
      </c>
      <c r="E138" s="1" t="s">
        <v>7</v>
      </c>
      <c r="G138">
        <v>3.6536480760539787</v>
      </c>
      <c r="O138">
        <v>15.665795611911339</v>
      </c>
      <c r="Q138">
        <v>-0.65365619155083987</v>
      </c>
      <c r="R138">
        <v>-0.73030071312277922</v>
      </c>
      <c r="T138">
        <v>0.73884684918521393</v>
      </c>
      <c r="U138">
        <v>0.9493950581079621</v>
      </c>
    </row>
    <row r="139" spans="1:21" x14ac:dyDescent="0.2">
      <c r="A139">
        <v>6.4</v>
      </c>
      <c r="B139">
        <v>3.1</v>
      </c>
      <c r="C139">
        <v>5.5</v>
      </c>
      <c r="D139">
        <v>1.8</v>
      </c>
      <c r="E139" s="1" t="s">
        <v>7</v>
      </c>
      <c r="G139">
        <v>2.1622262766311113</v>
      </c>
      <c r="O139">
        <v>13.607928846642997</v>
      </c>
      <c r="Q139">
        <v>0.57296754849546372</v>
      </c>
      <c r="R139">
        <v>0.5825981258239683</v>
      </c>
      <c r="T139">
        <v>2.3263478740408408</v>
      </c>
      <c r="U139">
        <v>1.8271847478979792</v>
      </c>
    </row>
    <row r="140" spans="1:21" x14ac:dyDescent="0.2">
      <c r="A140">
        <v>6</v>
      </c>
      <c r="B140">
        <v>3</v>
      </c>
      <c r="C140">
        <v>4.8</v>
      </c>
      <c r="D140">
        <v>1.8</v>
      </c>
      <c r="E140" s="1" t="s">
        <v>7</v>
      </c>
      <c r="G140">
        <v>2.0357270691981881</v>
      </c>
      <c r="O140">
        <v>13.35530659155355</v>
      </c>
      <c r="Q140">
        <v>7.5269862099829901E-2</v>
      </c>
      <c r="R140">
        <v>-9.1078045115123699E-2</v>
      </c>
      <c r="T140">
        <v>0.80642124701824058</v>
      </c>
      <c r="U140">
        <v>0.97919544446821538</v>
      </c>
    </row>
    <row r="141" spans="1:21" x14ac:dyDescent="0.2">
      <c r="A141">
        <v>6.9</v>
      </c>
      <c r="B141">
        <v>3.1</v>
      </c>
      <c r="C141">
        <v>5.4</v>
      </c>
      <c r="D141">
        <v>2.1</v>
      </c>
      <c r="E141" s="1" t="s">
        <v>7</v>
      </c>
      <c r="G141">
        <v>2.1539418085750537</v>
      </c>
      <c r="O141">
        <v>13.107928846642997</v>
      </c>
      <c r="Q141">
        <v>8.3555248042933294E-3</v>
      </c>
      <c r="R141">
        <v>-0.17377805095367727</v>
      </c>
      <c r="T141">
        <v>0.7170660652139651</v>
      </c>
      <c r="U141">
        <v>0.90727080528366555</v>
      </c>
    </row>
    <row r="142" spans="1:21" x14ac:dyDescent="0.2">
      <c r="A142">
        <v>6.7</v>
      </c>
      <c r="B142">
        <v>3.1</v>
      </c>
      <c r="C142">
        <v>5.6</v>
      </c>
      <c r="D142">
        <v>2.4</v>
      </c>
      <c r="E142" s="1" t="s">
        <v>7</v>
      </c>
      <c r="G142">
        <v>3.0409084883129607</v>
      </c>
      <c r="O142">
        <v>13.307928846642998</v>
      </c>
      <c r="Q142">
        <v>-0.10883503703752988</v>
      </c>
      <c r="R142">
        <v>-0.25476118104721257</v>
      </c>
      <c r="T142">
        <v>0.78350037538977446</v>
      </c>
      <c r="U142">
        <v>0.97448507996981459</v>
      </c>
    </row>
    <row r="143" spans="1:21" x14ac:dyDescent="0.2">
      <c r="A143">
        <v>6.9</v>
      </c>
      <c r="B143">
        <v>3.1</v>
      </c>
      <c r="C143">
        <v>5.0999999999999996</v>
      </c>
      <c r="D143">
        <v>2.2999999999999998</v>
      </c>
      <c r="E143" s="1" t="s">
        <v>7</v>
      </c>
      <c r="G143">
        <v>2.3298901593645969</v>
      </c>
      <c r="O143">
        <v>13.107928846642997</v>
      </c>
      <c r="Q143">
        <v>-2.506890825871106E-2</v>
      </c>
      <c r="R143">
        <v>-0.18928792667437666</v>
      </c>
      <c r="T143">
        <v>1.7132494016280724</v>
      </c>
      <c r="U143">
        <v>1.4787946302307882</v>
      </c>
    </row>
    <row r="144" spans="1:21" x14ac:dyDescent="0.2">
      <c r="A144">
        <v>5.8</v>
      </c>
      <c r="B144">
        <v>2.7</v>
      </c>
      <c r="C144">
        <v>5.0999999999999996</v>
      </c>
      <c r="D144">
        <v>1.9</v>
      </c>
      <c r="E144" s="1" t="s">
        <v>7</v>
      </c>
      <c r="G144">
        <v>2.403838378542889</v>
      </c>
      <c r="O144">
        <v>11.597439826285203</v>
      </c>
      <c r="Q144">
        <v>-0.10883503703752988</v>
      </c>
      <c r="R144">
        <v>-0.25476118104721257</v>
      </c>
      <c r="T144">
        <v>1.0082523471706792</v>
      </c>
      <c r="U144">
        <v>1.0745254035612875</v>
      </c>
    </row>
    <row r="145" spans="1:21" x14ac:dyDescent="0.2">
      <c r="A145">
        <v>6.8</v>
      </c>
      <c r="B145">
        <v>3.2</v>
      </c>
      <c r="C145">
        <v>5.9</v>
      </c>
      <c r="D145">
        <v>2.2999999999999998</v>
      </c>
      <c r="E145" s="1" t="s">
        <v>7</v>
      </c>
      <c r="G145">
        <v>3.0214730827288436</v>
      </c>
      <c r="O145">
        <v>13.860551101732444</v>
      </c>
      <c r="Q145">
        <v>-0.74986945374065561</v>
      </c>
      <c r="R145">
        <v>-0.7492443403335175</v>
      </c>
      <c r="T145">
        <v>1.1422903927149712</v>
      </c>
      <c r="U145">
        <v>1.1165707182369462</v>
      </c>
    </row>
    <row r="146" spans="1:21" x14ac:dyDescent="0.2">
      <c r="A146">
        <v>6.7</v>
      </c>
      <c r="B146">
        <v>3.3</v>
      </c>
      <c r="C146">
        <v>5.7</v>
      </c>
      <c r="D146">
        <v>2.5</v>
      </c>
      <c r="E146" s="1" t="s">
        <v>7</v>
      </c>
      <c r="G146">
        <v>3.4334183453633811</v>
      </c>
      <c r="O146">
        <v>14.613173356821893</v>
      </c>
      <c r="Q146">
        <v>0.17637416478086121</v>
      </c>
      <c r="R146">
        <v>-8.3780392765701265E-3</v>
      </c>
      <c r="T146">
        <v>1.5833867842263332</v>
      </c>
      <c r="U146">
        <v>1.4677440903704162</v>
      </c>
    </row>
    <row r="147" spans="1:21" x14ac:dyDescent="0.2">
      <c r="A147">
        <v>6.7</v>
      </c>
      <c r="B147">
        <v>3</v>
      </c>
      <c r="C147">
        <v>5.2</v>
      </c>
      <c r="D147">
        <v>2.2999999999999998</v>
      </c>
      <c r="E147" s="1" t="s">
        <v>7</v>
      </c>
      <c r="G147">
        <v>2.5240606793822442</v>
      </c>
      <c r="O147">
        <v>12.655306591553551</v>
      </c>
      <c r="Q147">
        <v>0.35845879325119384</v>
      </c>
      <c r="R147">
        <v>0.23800510249407289</v>
      </c>
      <c r="T147">
        <v>1.9893129908833236</v>
      </c>
      <c r="U147">
        <v>1.7019670153992914</v>
      </c>
    </row>
    <row r="148" spans="1:21" x14ac:dyDescent="0.2">
      <c r="A148">
        <v>6.3</v>
      </c>
      <c r="B148">
        <v>2.5</v>
      </c>
      <c r="C148">
        <v>5</v>
      </c>
      <c r="D148">
        <v>1.9</v>
      </c>
      <c r="E148" s="1" t="s">
        <v>7</v>
      </c>
      <c r="G148">
        <v>1.6969282707842206</v>
      </c>
      <c r="O148">
        <v>9.7921953161063051</v>
      </c>
      <c r="Q148">
        <v>-0.27064163977583461</v>
      </c>
      <c r="R148">
        <v>-0.40293444125860145</v>
      </c>
      <c r="T148">
        <v>1.2265281200366105</v>
      </c>
      <c r="U148">
        <v>1.184926447772976</v>
      </c>
    </row>
    <row r="149" spans="1:21" x14ac:dyDescent="0.2">
      <c r="A149">
        <v>6.5</v>
      </c>
      <c r="B149">
        <v>3</v>
      </c>
      <c r="C149">
        <v>5.2</v>
      </c>
      <c r="D149">
        <v>2</v>
      </c>
      <c r="E149" s="1" t="s">
        <v>7</v>
      </c>
      <c r="G149">
        <v>2.1672614315069829</v>
      </c>
      <c r="O149">
        <v>12.85530659155355</v>
      </c>
      <c r="Q149">
        <v>-1.5010859460440247</v>
      </c>
      <c r="R149">
        <v>-1.340220505434057</v>
      </c>
      <c r="T149">
        <v>0.5533847195556727</v>
      </c>
      <c r="U149">
        <v>0.71463733487235981</v>
      </c>
    </row>
    <row r="150" spans="1:21" x14ac:dyDescent="0.2">
      <c r="A150">
        <v>6.2</v>
      </c>
      <c r="B150">
        <v>3.4</v>
      </c>
      <c r="C150">
        <v>5.4</v>
      </c>
      <c r="D150">
        <v>2.2999999999999998</v>
      </c>
      <c r="E150" s="1" t="s">
        <v>7</v>
      </c>
      <c r="G150">
        <v>3.4378808948995809</v>
      </c>
      <c r="O150">
        <v>15.76579561191134</v>
      </c>
      <c r="Q150">
        <v>-0.1933732458926043</v>
      </c>
      <c r="R150">
        <v>-0.33746118688576615</v>
      </c>
      <c r="T150">
        <v>0.85358795751157213</v>
      </c>
      <c r="U150">
        <v>0.9820583216753902</v>
      </c>
    </row>
    <row r="151" spans="1:21" x14ac:dyDescent="0.2">
      <c r="A151">
        <v>5.9</v>
      </c>
      <c r="B151">
        <v>3</v>
      </c>
      <c r="C151">
        <v>5.0999999999999996</v>
      </c>
      <c r="D151">
        <v>1.8</v>
      </c>
      <c r="E151" s="1" t="s">
        <v>7</v>
      </c>
      <c r="G151">
        <v>2.3309782169921522</v>
      </c>
      <c r="O151">
        <v>13.455306591553549</v>
      </c>
      <c r="Q151">
        <v>0.59277262069791847</v>
      </c>
      <c r="R151">
        <v>0.61533475301038654</v>
      </c>
      <c r="T151">
        <v>2.128045234184984</v>
      </c>
      <c r="U151">
        <v>1.7045043219306746</v>
      </c>
    </row>
    <row r="152" spans="1:21" x14ac:dyDescent="0.2">
      <c r="Q152">
        <v>3.3427934830255239E-2</v>
      </c>
      <c r="R152">
        <v>-0.14104142376725962</v>
      </c>
      <c r="T152">
        <v>1.0364333894937898</v>
      </c>
      <c r="U152">
        <v>1.0751440489572708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F4D61-8FA3-DA44-935D-CCF5354F4483}">
  <dimension ref="A1"/>
  <sheetViews>
    <sheetView workbookViewId="0"/>
  </sheetViews>
  <sheetFormatPr baseColWidth="10" defaultRowHeight="16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QwBPAEwAUwBVAE0APQBMAEEATQBCAEQAQQAoAG0AYQB0AHIAaQB4ADsATgBBAEMASABTAFAAQQBMAFQARQAoAG0AYQB0AHIAaQB4ADsAUwBVAE0ATQBFACkAKQA7ADsAXABuAEMATwBSAFIALgBDAFIAQQBNAEUAUgA9AEwAQQBNAEIARABBACgAeABfAGkAOwB5AF8AaQA7AEwARQBUACgAbgBfAGkAOwBTAFQAQQBUAC4AVABBAEIATABFACgAeABfAGkAKQA7AG4AXwBqADsAUwBUAEEAVAAuAFQAQQBCAEwARQAoAHkAXwBpACkAOwBkAGkAdgA7AE0ASQBOACgAQQBOAFoAQQBIAEwAKABuAF8AaQApADsAQQBOAFoAQQBIAEwAKABuAF8AagApACkAOwBuADsAUwBVAE0ATQBFACgAbgBfAGoAKQA7AHgAXwBiAGEAcwBlADsAbgBfAGkAKgBNAFQAUgBBAE4AUwAoAG4AXwBqACkALwBuADsAbgBfAGkAagA7AFMAVABBAFQALgBUAEEAQgBMAEUAKAB4AF8AaQA7AHkAXwBpACkAOwBXAFUAUgBaAEUATAAoACgAUwBVAE0ATQBFACgAKABuAF8AaQBqAC0AeABfAGIAYQBzAGUAKQBeADIALwB4AF8AYgBhAHMAZQApACkALwAoAG4AKgAoAGQAaQB2AC0AMQApACkAKQApACkAOwA7AEMATwBSAFIALgBDAFIAQQBNAEUAUgAuAFQARQBTAFQAPQBMAEEATQBCAEQAQQAoAHgAXwBpADsAeQBfAGkAOwBbAGgAZQBhAGQAZQByAHMAXQA7AEwARQBUACgAaABlAGEAZABlAHIAcwA7AE8ARABFAFIAKABXAFUAUgBEAEUAQQBVAFMARwBFAEwAQQBTAFMARQBOACgAaABlAGEAZABlAHIAcwApADsATgBJAEMASABUACgAaABlAGEAZABlAHIAcwApACkAOwByAF8AdgBhAGwAdQBlADsAQwBPAFIAUgAuAEMAUgBBAE0ARQBSACgAeABfAGkAOwB5AF8AaQApADsAcABfAHYAYQBsAHUAZQA7AEMASABJAFEAVQAuAFQARQBTAFQALgBTACgAeABfAGkAOwB5AF8AaQApADsAcgBlAHMAdQBsAHQAcwA7AEgAUwBUAEEAUABFAEwATgAoAHIAXwB2AGEAbAB1AGUAOwBwAF8AdgBhAGwAdQBlACkAOwBXAEUATgBOACgAaABlAGEAZABlAHIAcwA7AHIAZQBzAHUAbAB0AHMAOwBWAFMAVABBAFAARQBMAE4AKABIAFMAVABBAFAARQBMAE4AKABcACIAVgBcACIAOwBcACIAcABcACIAKQA7AHIAZQBzAHUAbAB0AHMAKQApACkAKQA7ADsAXABuAEMATwBSAFIALgBLAEUATgBEAEEATAA9AEwAQQBNAEIARABBACgAeABfAGkAOwB5AF8AaQA7AEwARQBUACgAcwBfAG4AOwBBAE4AWgBBAEgATAAoAHgAXwBpACkAOwB4AF8AagA7AE0AVABSAEEATgBTACgAeABfAGkAKQA7AHkAXwBqADsATQBUAFIAQQBOAFMAKAB5AF8AaQApADsAdAByAGkAYQBuAGcAbABlADsATQBUAFIASQBBAE4ARwBMAEUAKABzAF8AbgA7AFcAQQBIAFIAOwBXAEEASABSACkAOwB0AHIAXwBzAGkAZwBuADsAUwBUAEEAVAAuAFMASQBHAE4AKAB4AF8AaQAtAHgAXwBqACkAKgBTAFQAQQBUAC4AUwBJAEcATgAoAHkAXwBpAC0AeQBfAGoAKQAqAHQAcgBpAGEAbgBnAGwAZQA7AG4AXwBjADsAUwBVAE0ATQBFACgAMQAqACgAdAByAF8AcwBpAGcAbgA+ADAAKQApADsAbgBfAGQAOwBTAFUATQBNAEUAKAAxACoAKAB0AHIAXwBzAGkAZwBuADwAMAApACkAOwBtAF8AawA7AE0ASQBOACgAQQBOAFoAQQBIAEwAKABFAEkATgBEAEUAVQBUAEkARwAoAHgAXwBpACkAKQA7AEEATgBaAEEASABMACgARQBJAE4ARABFAFUAVABJAEcAKAB5AF8AaQApACkAKQA7AFcARQBOAE4AKABzAF8AbgA9AEEATgBaAEEASABMACgAeQBfAGkAKQA7ACgAbgBfAGMALQBuAF8AZAApACoAMgAvACgAcwBfAG4AXgAyACoAKAAoAG0AXwBrAC0AMQApAC8AbQBfAGsAKQApADsAIwBXAEUAUgBUACEAKQApACkAOwA7AEMATwBSAFIALgBLAEUATgBEAEEATAAuAFQARQBTAFQAPQBMAEEATQBCAEQAQQAoAHgAXwBpADsAeQBfAGkAOwBMAEUAVAAoAHMAXwBuADsAQQBOAFoAQQBIAEwAKAB4AF8AaQApADsAeABfAGoAOwBNAFQAUgBBAE4AUwAoAHgAXwBpACkAOwB5AF8AagA7AE0AVABSAEEATgBTACgAeQBfAGkAKQA7AHQAcgBpAGEAbgBnAGwAZQA7AE0AVABSAEkAQQBOAEcATABFACgAcwBfAG4AOwBXAEEASABSADsAVwBBAEgAUgApADsAdAByAF8AcwBpAGcAbgA7AFMAVABBAFQALgBTAEkARwBOACgAeABfAGkALQB4AF8AagApACoAUwBUAEEAVAAuAFMASQBHAE4AKAB5AF8AaQAtAHkAXwBqACkAKgB0AHIAaQBhAG4AZwBsAGUAOwBuAF8AYwA7AFMAVQBNAE0ARQAoADEAKgAoAHQAcgBfAHMAaQBnAG4APgAwACkAKQA7AG4AXwBkADsAUwBVAE0ATQBFACgAMQAqACgAdAByAF8AcwBpAGcAbgA8ADAAKQApADsAbQBfAGsAOwBNAEkATgAoAEEATgBaAEEASABMACgARQBJAE4ARABFAFUAVABJAEcAKAB4AF8AaQApACkAOwBBAE4AWgBBAEgATAAoAEUASQBOAEQARQBVAFQASQBHACgAeQBfAGkAKQApACkAOwByAF8AdABhAHUAOwAoAG4AXwBjAC0AbgBfAGQAKQAqADIALwAoAHMAXwBuAF4AMgAqACgAKABtAF8AawAtADEAKQAvAG0AXwBrACkAKQA7AHYAXwAwADsAcwBfAG4AKgAoAHMAXwBuAC0AMQApACoAKAAyACoAcwBfAG4AKwA1ACkAOwB0AF8AcgBhAG4AawA7AFIAQQBOAEcALgBNAEkAVABUAEUATABXACgAeABfAGkAOwB4AF8AaQApADsAdQBfAHIAYQBuAGsAOwBSAEEATgBHAC4ATQBJAFQAVABFAEwAVwAoAHkAXwBpADsAeQBfAGkAKQA7AHQAXwBpADsARwBSAFUAUABQAEUATgAuAEEATgBaAEEASABMACgAdABfAHIAYQBuAGsAKQA7AHUAXwBpADsARwBSAFUAUABQAEUATgAuAEEATgBaAEEASABMACgAdQBfAHIAYQBuAGsAKQA7AHYAXwB0ADsAUwBVAE0ATQBFACgAdABfAGkAKgAoAHQAXwBpAC0AMQApACoAKAAyACoAdABfAGkAKwA1ACkAKQA7AHYAXwB1ADsAUwBVAE0ATQBFACgAdQBfAGkAKgAoAHUAXwBpAC0AMQApACoAKAAyACoAdQBfAGkAKwA1ACkAKQA7AHYAXwAxADsAUwBVAE0ATQBFACgAdABfAGkAKgAoAHQAXwBpAC0AMQApACkAKgBTAFUATQBNAEUAKAB1AF8AaQAqACgAdQBfAGkALQAxACkAKQAvACgAMgAqAHMAXwBuACoAKABzAF8AbgAtADEAKQApADsAdgBfADIAOwBTAFUATQBNAEUAKAB0AF8AaQAqACgAdABfAGkALQAxACkAKgAoAHQAXwBpAC0AMgApACkAKgBTAFUATQBNAEUAKAB1AF8AaQAqACgAdQBfAGkALQAxACkAKgAoAHUAXwBpAC0AMgApACkALwAoADkAKgBzAF8AbgAqACgAcwBfAG4ALQAxACkAKgAoAHMAXwBuAC0AMgApACkAOwB2AF8AYQBsAGwAOwAxAC8AMQA4ACoAdgBfADAALQAoAHYAXwB0ACsAdgBfAHUAKQAvADEAOAArAHYAXwAxACsAdgBfADIAOwB6AF8AYgA7ACgAbgBfAGMALQBuAF8AZAApAC8AVwBVAFIAWgBFAEwAKAB2AF8AYQBsAGwAKQA7AHAAXwB2ADsATgBPAFIATQAuAFYARQBSAFQAKAB6AF8AYgA7ADAAOwAxADsAVwBBAEgAUgApADsAcABfAHYAYQBsAHUAZQA7ADIAKgBXAEUATgBOACgAcABfAHYAPgAuADUAOwAxAC0AcABfAHYAOwBwAF8AdgApADsAVgBTAFQAQQBQAEUATABOACgASABTAFQAQQBQAEUATABOACgAXAAiAHQAYQB1AFwAIgA7AFwAIgB6AFwAIgA7AFwAIgBwAFwAIgApADsASABTAFQAQQBQAEUATABOACgAcgBfAHQAYQB1ADsAegBfAGIAOwBwAF8AdgBhAGwAdQBlACkAKQApACkAOwA7AFwAbgBDAE8AUgBSAC4AUABFAEEAUgBTAE8ATgA9AEwAQQBNAEIARABBACgAeABfAGkAOwB5AF8AaQA7AEsATwBSAFIARQBMACgAeABfAGkAOwB5AF8AaQApACkAOwA7AEMATwBSAFIALgBQAEUAQQBSAFMATwBOAC4AVABFAFMAVAA9AEwAQQBNAEIARABBACgAeABfAGkAOwB5AF8AaQA7AFsAaABlAGEAZABlAHIAcwBdADsATABFAFQAKABjAF8AcABlAGEAcgBzAG8AbgA7AEsATwBSAFIARQBMACgAeABfAGkAOwB5AF8AaQApADsAdABfAHYAYQBsAHUAZQA7AGMAXwBwAGUAYQByAHMAbwBuACoAVwBVAFIAWgBFAEwAKABBAE4AWgBBAEgATAAoAHgAXwBpACkALQAyACkALwBXAFUAUgBaAEUATAAoADEALQBjAF8AcABlAGEAcgBzAG8AbgBeADIAKQA7AHAAXwB2AGEAbAB1AGUAOwBUAC4AVgBFAFIAVAAuADIAUwAoAHQAXwB2AGEAbAB1AGUAOwBBAE4AWgBBAEgATAAoAHgAXwBpACkALQAyACkAOwByAGUAcwB1AGwAdABzADsASABTAFQAQQBQAEUATABOACgAYwBfAHAAZQBhAHIAcwBvAG4AOwB0AF8AdgBhAGwAdQBlADsAcABfAHYAYQBsAHUAZQApADsAVwBFAE4ATgAoAE8ARABFAFIAKABXAFUAUgBEAEUAQQBVAFMARwBFAEwAQQBTAFMARQBOACgAaABlAGEAZABlAHIAcwApADsATgBJAEMASABUACgAaABlAGEAZABlAHIAcwApACkAOwByAGUAcwB1AGwAdABzADsAVgBTAFQAQQBQAEUATABOACgASABTAFQAQQBQAEUATABOACgAXAAiAHIAXAAiADsAXAAiAHQAXAAiADsAXAAiAHAAXAAiACkAOwByAGUAcwB1AGwAdABzACkAKQApACkAOwA7AFwAbgBDAE8AUgBSAC4AUwBQAEUAQQBSAE0AQQBOAD0ATABBAE0AQgBEAEEAKABsAGUAZgB0ADsAcgBpAGcAaAB0ADsASwBPAFIAUgBFAEwAKABSAEEATgBHAC4ATQBJAFQAVABFAEwAVwAoAGwAZQBmAHQAOwBsAGUAZgB0ACkAOwBSAEEATgBHAC4ATQBJAFQAVABFAEwAVwAoAHIAaQBnAGgAdAA7AHIAaQBnAGgAdAApACkAKQA7ADsAXABuAEMAVQBNAFMAVQBNAD0ATABBAE0AQgBEAEEAKAB2AGUAYwB0AG8AcgA7AFMAQwBBAE4AKAAwADsAdgBlAGMAdABvAHIAOwBMAEEATQBCAEQAQQAoAGEAYwBjAHUAOwB2AGEAbAB1AGUAOwBhAGMAYwB1ACsAdgBhAGwAdQBlACkAKQApADsAOwBcAG4ARABVAE0ATQBZAC4AQwBPAEQASQBOAEcAPQBMAEEATQBCAEQAQQAoAHYAYQByAGkAYQBiAGwAZQA7AFsAaABlAGEAZABlAHIAXQA7AEwARQBUACgAdgBhAHIAaQBhAGIAbABlADsARgBJAEwAVABFAFIAKAB2AGEAcgBpAGEAYgBsAGUAOwBOAEkAQwBIAFQAKABJAFMAVABGAEUASABMAEUAUgAoAHYAYQByAGkAYQBiAGwAZQApACkAKQA7AGsAXwBuAGEAbQBlAHMAOwBNAFQAUgBBAE4AUwAoAEUASQBOAEQARQBVAFQASQBHACgAdgBhAHIAaQBhAGIAbABlACkAKQA7AGsAXwByAGUAZgA7AFMAUABBAEwAVABFAE4AVwBBAEgATAAoAGsAXwBuAGEAbQBlAHMAOwBTAEUAUQBVAEUATgBaACgAMQA7AEEATgBaAEEASABMADIAKABrAF8AbgBhAG0AZQBzACkALQAxACkAKQA7AGMAbwBkAGUAcwA7ADEAKgAoAHYAYQByAGkAYQBiAGwAZQA9AGsAXwByAGUAZgApADsAdwBlAG4AbgAoAE8ARABFAFIAKABXAFUAUgBEAEUAQQBVAFMARwBFAEwAQQBTAFMARQBOACgAaABlAGEAZABlAHIAKQA7AG4AaQBjAGgAdAAoAGgAZQBhAGQAZQByACkAKQA7AGMAbwBkAGUAcwA7AHYAcwB0AGEAcABlAGwAbgAoAGsAXwByAGUAZgA7AGMAbwBkAGUAcwApACkAKQApADsAOwBcAG4ARwBSAE8AVQBQAC4AQwBPAFUATgBUAD0ATABBAE0AQgBEAEEAKABnAHIAbwB1AHAAcwA7AFMAUABBAEwAVABFAE4AVwBBAEgATAAoAEcAUgBVAFAAUABJAEUAUgBFAE4ATgBBAEMASAAoAGcAcgBvAHUAcABzADsAZwByAG8AdQBwAHMAOwBBAE4AWgBBAEgATAAyADsAOwAwACkAOwAyACkAKQA7ADsARwBSAE8AVQBQAC4ATABBAEIARQBMAFMAPQBMAEEATQBCAEQAQQAoAGcAcgBvAHUAcABzADsAUwBQAEEATABUAEUATgBXAEEASABMACgARwBSAFUAUABQAEkARQBSAEUATgBOAEEAQwBIACgAZwByAG8AdQBwAHMAOwBnAHIAbwB1AHAAcwA7AEEATgBaAEEASABMADIAOwA7ADAAKQA7ADEAKQApADsAOwBcAG4ARwBSAE8AVQBQAC4ASQBRAFIAPQBMAEEATQBCAEQAQQAoAHYAYQBsAHUAZQBzADsAZwByAG8AdQBwAHMAOwBTAFAAQQBMAFQARQBOAFcAQQBIAEwAKABHAFIAVQBQAFAASQBFAFIARQBOAE4AQQBDAEgAKABnAHIAbwB1AHAAcwA7AHYAYQBsAHUAZQBzADsAUwBUAEEAVAAuAEkAUQBSADsAOwAwACkAOwAyACkAKQA7ADsAXABuAEcAUgBPAFUAUAAuAE0AQQBEAD0ATABBAE0AQgBEAEEAKAB2AGEAbAB1AGUAcwA7AGcAcgBvAHUAcABzADsAUwBQAEEATABUAEUATgBXAEEASABMACgARwBSAFUAUABQAEkARQBSAEUATgBOAEEAQwBIACgAZwByAG8AdQBwAHMAOwB2AGEAbAB1AGUAcwA7AFMAVABBAFQALgBNAEEARAA7ADsAMAApADsAMgApACkAOwA7AFwAbgBHAFIATwBVAFAALgBNAEEAWAA9AEwAQQBNAEIARABBACgAdgBhAGwAdQBlAHMAOwBnAHIAbwB1AHAAcwA7AFMAUABBAEwAVABFAE4AVwBBAEgATAAoAEcAUgBVAFAAUABJAEUAUgBFAE4ATgBBAEMASAAoAGcAcgBvAHUAcABzADsAdgBhAGwAdQBlAHMAOwBNAEEAWAA7ADsAMAApADsAMgApACkAOwA7AFwAbgBHAFIATwBVAFAALgBNAEUAQQBOAD0ATABBAE0AQgBEAEEAKAB2AGEAbAB1AGUAcwA7AGcAcgBvAHUAcABzADsAUwBQAEEATABUAEUATgBXAEEASABMACgARwBSAFUAUABQAEkARQBSAEUATgBOAEEAQwBIACgAZwByAG8AdQBwAHMAOwB2AGEAbAB1AGUAcwA7AE0ASQBUAFQARQBMAFcARQBSAFQAOwA7ADAAKQA7ADIAKQApADsAOwBcAG4ARwBSAE8AVQBQAC4ATQBFAEQASQBBAE4APQBMAEEATQBCAEQAQQAoAHYAYQBsAHUAZQBzADsAZwByAG8AdQBwAHMAOwBTAFAAQQBMAFQARQBOAFcAQQBIAEwAKABHAFIAVQBQAFAASQBFAFIARQBOAE4AQQBDAEgAKABnAHIAbwB1AHAAcwA7AHYAYQBsAHUAZQBzADsATQBFAEQASQBBAE4AOwA7ADAAKQA7ADIAKQApADsAOwBcAG4ARwBSAE8AVQBQAC4ATQBJAE4APQBMAEEATQBCAEQAQQAoAHYAYQBsAHUAZQBzADsAZwByAG8AdQBwAHMAOwBTAFAAQQBMAFQARQBOAFcAQQBIAEwAKABHAFIAVQBQAFAASQBFAFIARQBOAE4AQQBDAEgAKABnAHIAbwB1AHAAcwA7AHYAYQBsAHUAZQBzADsATQBJAE4AOwA7ADAAKQA7ADIAKQApADsAOwBcAG4ARwBSAE8AVQBQAC4AUwBEAD0ATABBAE0AQgBEAEEAKAB2AGEAbAB1AGUAcwA7AGcAcgBvAHUAcABzADsAUwBQAEEATABUAEUATgBXAEEASABMACgARwBSAFUAUABQAEkARQBSAEUATgBOAEEAQwBIACgAZwByAG8AdQBwAHMAOwB2AGEAbAB1AGUAcwA7AFMAVABBAEIAVwAuAFMAOwA7ADAAKQA7ADIAKQApADsAOwBcAG4ARwBSAE8AVQBQAC4AUwBVAE0APQBMAEEATQBCAEQAQQAoAHYAYQBsAHUAZQBzADsAZwByAG8AdQBwAHMAOwBTAFAAQQBMAFQARQBOAFcAQQBIAEwAKABHAFIAVQBQAFAASQBFAFIARQBOAE4AQQBDAEgAKABnAHIAbwB1AHAAcwA7AHYAYQBsAHUAZQBzADsAUwBVAE0ATQBFADsAOwAwACkAOwAyACkAKQA7ADsAXABuAEcAUgBPAFUAUAAuAFMARQA9AEwAQQBNAEIARABBACgAXABuACAAIAAgACAAdgBhAGwAdQBlAHMAOwAgAGcAcgBvAHUAcABzADsAXABuACAAIAAgACAAUwBQAEEATABUAEUATgBXAEEASABMACgAXABuACAAIAAgACAAIAAgACAAIABHAFIAVQBQAFAASQBFAFIARQBOAE4AQQBDAEgAKABnAHIAbwB1AHAAcwA7ACAAdgBhAGwAdQBlAHMAOwAgAFMAVABBAFQALgBTAEUAOwA7ADAAKQA7AFwAbgAgACAAIAAgACAAIAAgACAAMgBcAG4AIAAgACAAIAApAFwAbgApADsAOwBcAG4AXABuAEgAUgBFAFAARQBBAFQAPQBMAEEATQBCAEQAQQAoAHYAYQBsAHUAZQA7AG4AXwB0AGkAbQBlAHMAOwBXAEUATgBOACgAVQBOAEQAKABBAE4AWgBBAEgATAAyACgAdgBhAGwAdQBlACkAPQAxADsAQQBOAFoAQQBIAEwAKABuAF8AdABpAG0AZQBzACkAPQAxADsAbgBfAHQAaQBtAGUAcwA+ADAAKQA7AFcARQBOAE4AKABJAFMAVABaAEEASABMACgAdgBhAGwAdQBlACkAKwBJAFMAVABMAE8ARwAoAHYAYQBsAHUAZQApADsAUwBFAFEAVQBFAE4AWgAoADEAOwBuAF8AdABpAG0AZQBzADsAdgBhAGwAdQBlADsAMAApADsAVwBFAE4ATgAoAFMARQBRAFUARQBOAFoAKAAxADsAbgBfAHQAaQBtAGUAcwApADsAdgBhAGwAdQBlACkAKQA7ACMAVwBFAFIAVAAhACkAKQA7ADsAXABuAEkAUwAuAEEATABMAC4ARQBRAFUAQQBMAD0ATABBAE0AQgBEAEEAKAB2AGUAYwB0AG8AcgA7AFUATgBEACgAdgBlAGMAdABvAHIAPQBpAG4AZABlAHgAKAB2AGUAYwB0AG8AcgA7ADEAOwAxACkAKQApADsAOwBcAG4ASQBTAC4AVgBFAEMAVABPAFIAPQBMAEEATQBCAEQAQQAoAHYAZQBjAHQAbwByADsAVwBFAE4ATgBGAEUASABMAEUAUgAoAEkAUwAuAEEATABMAC4ARQBRAFUAQQBMACgATQBBAFAAKABSAEUATQBPAFYARQAuAEkATgBWAEEATABJAEQAKAB2AGUAYwB0AG8AcgApADsAVABZAFAAKQApADsARgBBAEwAUwBDAEgAKQApADsAOwBcAG4ATQBBAFIASwAuAEkATgBWAEEATABJAEQAPQBMAEEATQBCAEQAQQAoAHYAZQBjAHQAbwByAHMAOwBpAG4AdgBhAGwAaQBkAF8AdgBhAGwAdQBlAHMAOwBNAEEAUAAoAHYAZQBjAHQAbwByAHMAOwBMAEEATQBCAEQAQQAoAHYAXwBpADsAdwBlAG4AbgAoAHcAZQBuAG4AZgBlAGgAbABlAHIAKABYAFYARQBSAEcATABFAEkAQwBIACgAdgBfAGkAOwBpAG4AdgBhAGwAaQBkAF8AdgBhAGwAdQBlAHMAOwAwACkAOwAwACkAOwAjAE4AVgA7AHYAXwBpACkAKQApACkAOwA7AFwAbgBNAEEAVABSAEkAWABfAFQATwBfAEwATwBOAEcAPQBMAEEATQBCAEQAQQAoAG0AYQB0AHIAaQB4ADsAWwBwAF8AaABlAGEAZABlAHIAcwBdADsAWwBwAF8AdwBpAHQAaABuAGEAbQBlAHMAXQA7AEwARQBUACgAcABfAGgAZQBhAGQAZQByAHMAOwBPAEQARQBSACgAVwBVAFIARABFAEEAVQBTAEcARQBMAEEAUwBTAEUATgAoAHAAXwBoAGUAYQBkAGUAcgBzACkAOwBwAF8AaABlAGEAZABlAHIAcwApADsAcABfAHcAaQB0AGgAbgBhAG0AZQBzADsAVwBFAE4ATgAoAFcAVQBSAEQARQBBAFUAUwBHAEUATABBAFMAUwBFAE4AKABwAF8AdwBpAHQAaABuAGEAbQBlAHMAKQA7AHsAXAAiAG4AYQBtAGUAXAAiADsAXAAiAHYAYQBsAHUAZQBcACIAfQA7AHAAXwB3AGkAdABoAG4AYQBtAGUAcwApADsAYgBfAGgAZQBhAGQAZQByAHMAOwBVAE4ARAAoAFMAUABBAEwAVABFAE4AKABwAF8AaABlAGEAZABlAHIAcwApAD0AMQA7AFoARQBJAEwARQBOACgAcABfAGgAZQBhAGQAZQByAHMAKQA9ADEAOwBwAF8AaABlAGEAZABlAHIAcwApADsAbgBfAGMAbwBsAHMAOwBTAFAAQQBMAFQARQBOACgAbQBhAHQAcgBpAHgAKQA7AG4AXwByAG8AdwBzADsAWgBFAEkATABFAE4AKABtAGEAdAByAGkAeAApAC0AYgBfAGgAZQBhAGQAZQByAHMAOwBzAGUAbABfAGgAZQBhAGQAZQByADsAVwBFAE4ATgBTACgAVQBOAEQAKABBAE4AWgBBAEgATAAyACgAcABfAGgAZQBhAGQAZQByAHMAKQA9AG4AXwBjAG8AbABzADsAUwBQAEEATABUAEUATgAoAHAAXwBoAGUAYQBkAGUAcgBzACkAPQBuAF8AYwBvAGwAcwApADsAcABfAGgAZQBhAGQAZQByAHMAOwBBAE4AWgBBAEgATAAyACgAcABfAGgAZQBhAGQAZQByAHMAKQA9AG4AXwBjAG8AbABzADsATQBUAFIAQQBOAFMAKABwAF8AaABlAGEAZABlAHIAcwApADsAYgBfAGgAZQBhAGQAZQByAHMAOwBaAEUASQBMAEUATgBXAEEASABMACgAbQBhAHQAcgBpAHgAOwAxACkAOwBXAEEASABSADsAUwBFAFEAVQBFAE4AWgAoADEAOwBuAF8AYwBvAGwAcwApACkAOwBzAGUAbABfAGgAZQBhAGQAaQBuAGcAOwBXAEUATgBOAFMAKABVAE4ARAAoAEEATgBaAEEASABMADIAKABwAF8AdwBpAHQAaABuAGEAbQBlAHMAKQA9ADIAOwBaAEUASQBMAEUATgAoAHAAXwB3AGkAdABoAG4AYQBtAGUAcwApAD0AMQApADsAcABfAHcAaQB0AGgAbgBhAG0AZQBzADsAQQBOAFoAQQBIAEwAMgAoAHAAXwB3AGkAdABoAG4AYQBtAGUAcwApAD0AMgA7AE0AVABSAEEATgBTACgAcABfAHcAaQB0AGgAbgBhAG0AZQBzACkAOwBXAEEASABSADsARgBBAEwAUwBDAEgAKQA7AHYAYQBsAHUAZQBzADsAWgBVAFMAUABBAEwAVABFACgAVwBFAE4ATgAoAGIAXwBoAGUAYQBkAGUAcgBzADsAWgBFAEkATABFAE4AVwBBAEgATAAoAG0AYQB0AHIAaQB4ADsAUwBFAFEAVQBFAE4AWgAoAG4AXwByAG8AdwBzADsAMQA7ADIAKQApADsAbQBhAHQAcgBpAHgAKQApADsAaQBkAHgAXwBuADsAUgBFAFMAVAAoAFMARQBRAFUARQBOAFoAKABuAF8AcgBvAHcAcwAqAG4AXwBjAG8AbABzADsAMQA7ADAAKQA7AG4AXwBjAG8AbABzACkAKwAxADsAbgBhAG0AZQBzADsASQBOAEQARQBYACgAcwBlAGwAXwBoAGUAYQBkAGUAcgA7ADEAOwBpAGQAeABfAG4AKQA7AHIAZQBzAHUAbAB0ADsASABTAFQAQQBQAEUATABOACgAbgBhAG0AZQBzADsAdgBhAGwAdQBlAHMAKQA7AFcARQBOAE4AKABTAFAAQQBMAFQARQBOACgAcwBlAGwAXwBoAGUAYQBkAGkAbgBnACkAPQAxADsAcgBlAHMAdQBsAHQAOwBWAFMAVABBAFAARQBMAE4AKABzAGUAbABfAGgAZQBhAGQAaQBuAGcAOwByAGUAcwB1AGwAdAApACkAKQApADsAOwBNAEEAVABSAEkAWAAuAFQATwAuAEwATwBOAEcAPQBNAEEAVABSAEkAWABfAFQATwBfAEwATwBOAEcAOwA7AE0AQQBUAFIASQBYAC4AWgBVAC4ATABBAE4ARwBGAE8AUgBNAD0ATABBAE0AQgBEAEEAKABtAGEAdAByAGkAeAA7AFsAcABfAG4AYQBtAGUAbgBdADsAWwBwAF8AdAB0AGwAXQA7AEwARQBUACgAcABfAHQAdABsADsAdwBlAG4AbgAoAFcAVQBSAEQARQBBAFUAUwBHAEUATABBAFMAUwBFAE4AKABwAF8AdAB0AGwAKQA7AHsAXAAiAE4AYQBtAGUAXAAiADsAXAAiAFcAZQByAHQAXAAiAH0AOwBwAF8AdAB0AGwAKQA7AE0AQQBUAFIASQBYAF8AVABPAF8ATABPAE4ARwAoAG0AYQB0AHIAaQB4ADsAcABfAG4AYQBtAGUAbgA7AHAAXwB0AHQAbAApACkAKQA7ADsAXABuAE0ARABJAE0APQBMAEEATQBCAEQAQQAoAG0AYQB0AHIAaQB4ADsASABTAFQAQQBQAEUATABOACgAWgBFAEkATABFAE4AKABtAGEAdAByAGkAeAApADsAUwBQAEEATABUAEUATgAoAG0AYQB0AHIAaQB4ACkAKQApADsAOwBcAG4ATQBUAFIAQQBDAEUAPQBMAEEATQBCAEQAQQAoAG0AYQB0AHIAaQB4ADsAVwBFAE4ATgAoAFoARQBJAEwARQBOACgAbQBhAHQAcgBpAHgAKQA9AFMAUABBAEwAVABFAE4AKABtAGEAdAByAGkAeAApADsATABFAFQAKABpAG4AZABlAHgAOwBTAEUAUQBVAEUATgBaACgAWgBFAEkATABFAE4AKABtAGEAdAByAGkAeAApACkAOwBTAFUATQBNAEUAKABJAE4ARABFAFgAKABtAGEAdAByAGkAeAA7AGkAbgBkAGUAeAA7AGkAbgBkAGUAeAApACkAKQA7ACMAVwBFAFIAVAAhACkAKQA7ADsAXABuAE0AVABSAEkAQQBOAEcATABFAD0ATABBAE0AQgBEAEEAKABzAGkAegBlADsAWwBwAF8AbABvAHcAZQByAF0AOwBbAHAAXwBzAHQAcgBpAGMAdABdADsATABFAFQAKABiAF8AbABvAHcAZQByADsATwBEAEUAUgAoAFcAVQBSAEQARQBBAFUAUwBHAEUATABBAFMAUwBFAE4AKABwAF8AbABvAHcAZQByACkAOwBwAF8AbABvAHcAZQByACkAOwBiAF8AcwB0AHIAaQBjAHQAOwBPAEQARQBSACgAVwBVAFIARABFAEEAVQBTAEcARQBMAEEAUwBTAEUATgAoAHAAXwBzAHQAcgBpAGMAdAApADsATgBJAEMASABUACgAcABfAHMAdAByAGkAYwB0ACkAKQA7AFcARQBOAE4AKABVAE4ARAAoAEEATgBaAEEASABMACgAcwBpAHoAZQApAD0AMQA7AEEATgBaAEEASABMADIAKABiAF8AbABvAHcAZQByACkAPQAxADsAQQBOAFoAQQBIAEwAMgAoAGIAXwBzAHQAcgBpAGMAdAApAD0AMQApADsATABFAFQAKAB2AGUAYwB0AG8AcgA7AFMARQBRAFUARQBOAFoAKABzAGkAegBlACkAOwB0AHYAZQBjAHQAbwByADsATQBUAFIAQQBOAFMAKAB2AGUAYwB0AG8AcgApADsAMQAqAFcARQBOAE4AUwAoAFUATgBEACgAYgBfAGwAbwB3AGUAcgA7AGIAXwBzAHQAcgBpAGMAdAApADsAdgBlAGMAdABvAHIAPgB0AHYAZQBjAHQAbwByADsAYgBfAGwAbwB3AGUAcgA7AHYAZQBjAHQAbwByAD4APQB0AHYAZQBjAHQAbwByADsAYgBfAHMAdAByAGkAYwB0ADsAdgBlAGMAdABvAHIAPAB0AHYAZQBjAHQAbwByADsAVwBBAEgAUgA7AHYAZQBjAHQAbwByADwAPQB0AHYAZQBjAHQAbwByACkAKQA7ACMAVwBFAFIAVAAhACkAKQApADsAOwBcAG4AUABRAC4AUgBFAE4AQQBNAEUALgBIAEUATABQAEUAUgA9AEwAQQBNAEIARABBACgAbgBhAG0AZQBzADsAbABhAGIAZQBsAHMAOwBUAEUAWABUAFYARQBSAEsARQBUAFQARQBOACgAXAAiACwAXAAiADsAOwBOAEEAQwBIAFoARQBJAEwARQAoAE0AQQBQACgASABTAFQAQQBQAEUATABOACgAbABhAGIAZQBsAHMAOwBuAGEAbQBlAHMAKQA7AEwAQQBNAEIARABBACgAcwB0AHIAaQBuAGcAOwBcACIAXAAiAFwAIgBcACIAJgBzAHQAcgBpAG4AZwAmAFwAIgBcACIAXAAiAFwAIgApACkAOwBMAEEATQBCAEQAQQAoAHIAbwB3ADsAXAAiAHsAXAAiACYAVABFAFgAVABWAEUAUgBLAEUAVABUAEUATgAoAFwAIgAsAFwAIgA7ADsAcgBvAHcAKQAmAFwAIgB9AFwAIgApACkAKQApADsAOwBcAG4AUABSAEUAUAAuAEEATABUAEUAUgBOAEEAVABJAFYARQA9AEwAQQBNAEIARABBACgAYQBsAHQAOwBYAFYARQBSAFcARQBJAFMAKABMAEkATgBLAFMAKABLAEwARQBJAE4AKABhAGwAdAApADsAMQApADsAewBcACIAdABcACIAOwBcACIAZwBcACIAOwBcACIAbABcACIAOwBcACIAcgBcACIAOwBcACIAawBcACIAOwBcACIAdQBcACIAOwBcACIAYgBcACIAOwBcACIAPABcACIAOwBcACIAPgBcACIAfQA7AHsAXAAiAHQAXAAiADsAXAAiAGcAXAAiADsAXAAiAGwAXAAiADsAXAAiAGcAXAAiADsAXAAiAGwAXAAiADsAXAAiAHQAXAAiADsAXAAiAHQAXAAiADsAXAAiAGwAXAAiADsAXAAiAGcAXAAiAH0AOwAjAFcARQBSAFQAIQApACkAOwA7AFwAbgBRAFEALgBEAEEAVABBAD0ATABBAE0AQgBEAEEAKABWAGEAbAB1AGUAcwA7AFsAdwBpAHQAaABfAGgAZQBhAGQAZQByAHMAXQA7AEwARQBUACgAdwBpAHQAaABfAGgAZQBhAGQAZQByAHMAOwBPAEQARQBSACgAVwBVAFIARABFAEEAVQBTAEcARQBMAEEAUwBTAEUATgAoAHcAaQB0AGgAXwBoAGUAYQBkAGUAcgBzACkAOwB3AGkAdABoAF8AaABlAGEAZABlAHIAcwApADsAbQBfAHcAOwBNAEkAVABUAEUATABXAEUAUgBUACgAVgBhAGwAdQBlAHMAKQA7AG0AXwBzADsAUwBUAEEAQgBXAC4AUwAoAFYAYQBsAHUAZQBzACkAOwByAGEAbgBrADsAKABSAEEATgBHAC4ATQBJAFQAVABFAEwAVwAoAFYAYQBsAHUAZQBzADsAVgBhAGwAdQBlAHMAOwAxACkALQAwAC4ANQApAC8AQQBOAFoAQQBIAEwAKABWAGEAbAB1AGUAcwApADsAcgBlAHMAdQBsAHQAcwA7AEgAUwBUAEEAUABFAEwATgAoAE4ATwBSAE0ALgBTAC4ASQBOAFYAKAByAGEAbgBrACkAOwAoAFYAYQBsAHUAZQBzAC0AbQBfAHcAKQAvAG0AXwBzACkAOwBXAEUATgBOACgAdwBpAHQAaABfAGgAZQBhAGQAZQByAHMAOwBWAFMAVABBAFAARQBMAE4AKABNAFQAUgBBAE4AUwAoAHsAXAAiAFQAaABlAG8AcgBlAHQAaQBzAGMAaABcACIAOwBcACIARwBlAG0AZQBzAHMAZQBuAFwAIgB9ACkAOwByAGUAcwB1AGwAdABzACkAOwByAGUAcwB1AGwAdABzACkAKQApADsAOwBcAG4AUQBVAEkAQwBLAC4AQwBPAEQARQA9AEwAQQBNAEIARABBACgAdgBhAHIAaQBhAGIAbABlADsAbwByAGQAZQByADsAWABWAEUAUgBHAEwARQBJAEMASAAoAHYAYQByAGkAYQBiAGwAZQA7AG8AcgBkAGUAcgApACkAOwA7AFwAbgBSAEEATgBEAE8ATQAuAE4ATwBSAE0APQBMAEEATQBCAEQAQQAoAHAAXwBuADsAWwBtAGUAYQBuAF0AOwBbAHMAZABlAHYAXQA7AEwARQBUACgAbQBlAGEAbgA7AFcARQBOAE4AKABXAFUAUgBEAEUAQQBVAFMARwBFAEwAQQBTAFMARQBOACgAbQBlAGEAbgApADsAMAA7AG0AZQBhAG4AKQA7AHMAZABlAHYAOwBXAEUATgBOACgAVwBVAFIARABFAEEAVQBTAEcARQBMAEEAUwBTAEUATgAoAHMAZABlAHYAKQA7ADEAOwBzAGQAZQB2ACkAOwBXAFUAUgBaAEUATAAoAC0AMgAqAEwATgAoAFoAVQBGAEEATABMAFMATQBBAFQAUgBJAFgAKABwAF8AbgApACkAKQArAEMATwBTACgAMgAqAFAASQAoACkAKgBaAFUARgBBAEwATABTAE0AQQBUAFIASQBYACgAcABfAG4AKQApACoAcwBkAGUAdgArAG0AZQBhAG4AKQApADsAOwBcAG4AUgBFAEcAUgBFAFMAUwBJAE8ATgA9AEwAQQBNAEIARABBACgAQQBfAFYAQQBSADsAVQBBAF8AVgBBAFIAOwBMAEUAVAAoAEsATwBFAEYATQBBAFQAOwBIAFMAVABBAFAARQBMAE4AKABTAEUAUQBVAEUATgBaACgAWgBFAEkATABFAE4AKABBAF8AVgBBAFIAKQA7ADEAOwAxADsAMAApADsAVQBBAF8AVgBBAFIAKQA7AFIARQBEAEQASQBNADsATQBNAFUATABUACgATQBUAFIAQQBOAFMAKABLAE8ARQBGAE0AQQBUACkAOwBLAE8ARQBGAE0AQQBUACkAOwBNAE0AVQBMAFQAKABNAE0AVQBMAFQAKABNAEkATgBWACgAUgBFAEQARABJAE0AKQA7AE0AVABSAEEATgBTACgASwBPAEUARgBNAEEAVAApACkAOwBBAF8AVgBBAFIAKQApACkAOwA7AFwAbgBcAG4AUgBFAEcAUgBFAFMAUwBJAE8ATgAuAFIARQBTAEkARABVAEEATABTAD0ATABBAE0AQgBEAEEAKABcAG4AIAAgACAAIABBAF8AVgBBAFIAOwAgAFUAQQBfAFYAQQBSADsAXABuACAAIAAgACAATABFAFQAKABcAG4AIAAgACAAIAAgACAAIAAgAEsATwBFAEYAOwAgAE0AVABSAEEATgBTACgAUgBHAFAAKABBAF8AVgBBAFIAOwAgAFUAQQBfAFYAQQBSACkAKQA7AFwAbgAgACAAIAAgACAAIAAgACAASwBPAEUARgBNAEEAVAA7ACAASABTAFQAQQBQAEUATABOACgAUwBFAFEAVQBFAE4AWgAoAFoARQBJAEwARQBOACgAQQBfAFYAQQBSACkAOwAxADsAMQA7ADAAKQA7ACAAVQBBAF8AVgBBAFIAKQA7AFwAbgAgACAAIAAgACAAIAAgACAARQBTAFQASQBNAEEAVABFAFMAOwAgAE0ATQBVAEwAVAAoAEsATwBFAEYATQBBAFQAOwAgAEsATwBFAEYAKQA7AFwAbgAgACAAIAAgACAAIAAgACAARQBTAFQASQBNAEEAVABFAFMAIAAtACAAQQBfAFYAQQBSAFwAbgAgACAAIAAgACkAXABuACkAOwA7AFwAbgBcAG4AXABuAFIARQBNAE8AVgBFAC4ASQBOAFYAQQBMAEkARAA9AEwAQQBNAEIARABBACgAdgBlAGMAdABvAHIAcwA7AFsAZQB4AHQAcgBhAF8AdgBhAGwAdQBlAHMAXQA7AEwARQBUACgAdgBfAGkAdgA7AHcAZQBuAG4AKABXAFUAUgBEAEUAQQBVAFMARwBFAEwAQQBTAFMARQBOACgAZQB4AHQAcgBhAF8AdgBhAGwAdQBlAHMAKQA7AHYAZQBjAHQAbwByAHMAOwBNAEEAUgBLAC4ASQBOAFYAQQBMAEkARAAoAHYAZQBjAHQAbwByAHMAOwBlAHgAdAByAGEAXwB2AGEAbAB1AGUAcwApACkAOwBpAG4AdgBhAGwAaQBkADsATgBBAEMASABaAEUASQBMAEUAKAB2AF8AaQB2ADsATABBAE0AQgBEAEEAKAB6AGUAaQBsAGUAOwBPAEQARQBSACgASQBTAFQARgBFAEgATABFAFIAKAB6AGUAaQBsAGUAKQApACkAKQA7AEYASQBMAFQARQBSACgAdgBlAGMAdABvAHIAcwA7AE4ASQBDAEgAVAAoAGkAbgB2AGEAbABpAGQAKQApACkAKQA7ADsAXABuAFIATwBXAFMAVQBNAD0ATABBAE0AQgBEAEEAKABtAGEAdAByAGkAeAA7AE4AQQBDAEgAWgBFAEkATABFACgAbQBhAHQAcgBpAHgAOwBTAFUATQBNAEUAKQApADsAOwBcAG4AUwBDAEgARQBNAEEALgBDAEgATwBPAFMARQA9AEwAQQBNAEIARABBACgAZABhAHQAYQA7AHQAeQBwAGUAcwA7AFsAdAB5AHAAZQBdADsATABFAFQAKAB0AHkAcABlADsAVwBFAE4ATgAoAFcAVQBSAEQARQBBAFUAUwBHAEUATABBAFMAUwBFAE4AKAB0AHkAcABlACkAOwBcACIAbQBcACIAOwBMAEkATgBLAFMAKABLAEwARQBJAE4AKAB0AHkAcABlACkAOwAxACkAKQA7AHQAeQBwAGUAcwA7AEwASQBOAEsAUwAoAEsATABFAEkATgAoAHQAeQBwAGUAcwApADsAMQApADsAVwBFAE4ATgAoAFMAUABBAEwAVABFAE4AKABkAGEAdABhACkAPQAxADsATQBUAFIAQQBOAFMAKABGAEkATABUAEUAUgAoAGQAYQB0AGEAOwB0AHkAcABlAD0AdAB5AHAAZQBzACkAKQA7AFMAUABBAEwAVABFAE4AVwBBAEgATAAoAGQAYQB0AGEAOwBGAEkATABUAEUAUgAoAFMARQBRAFUARQBOAFoAKABBAE4AWgBBAEgATAAyACgAdAB5AHAAZQBzACkAKQA7AHQAeQBwAGUAPQB0AHkAcABlAHMAKQApACkAKQApADsAOwBcAG4AUwBFAFEAVQBFAE4AQwBFAC4AUgBBAE4ARwBFAD0ATABBAE0AQgBEAEEAKABhAF8AdgA7AFsAYgBfAG8AcgBfAHMAdABlAHAAXQA7AFsAcwB0AGUAcABdADsATABFAFQAKABhAF8AdgBzADsAWgBVAFMAUABBAEwAVABFACgAYQBfAHYAKQA7AG4AXwBhADsAQQBOAFoAQQBIAEwAKABhAF8AdgBzACkAOwBiAF8AdgA7AHcAZQBuAG4AKABVAE4ARAAoAG4AXwBhAD0AMgA7AFcAVQBSAEQARQBBAFUAUwBHAEUATABBAFMAUwBFAE4AKABiAF8AbwByAF8AcwB0AGUAcAApADsAVwBVAFIARABFAEEAVQBTAEcARQBMAEEAUwBTAEUATgAoAHMAdABlAHAAKQApADsASQBOAEQARQBYACgAYQBfAHYAcwA7ADIAOwAxACkAOwBiAF8AbwByAF8AcwB0AGUAcAApADsAcwB0AGUAcAA7AFcARQBOAE4AUwAoAFUATgBEACgAVwBVAFIARABFAEEAVQBTAEcARQBMAEEAUwBTAEUATgAoAGIAXwBvAHIAXwBzAHQAZQBwACkAOwBXAFUAUgBEAEUAQQBVAFMARwBFAEwAQQBTAFMARQBOACgAcwB0AGUAcAApACkAOwAxADsAVQBOAEQAKABuAF8AYQA9ADIAOwBXAFUAUgBEAEUAQQBVAFMARwBFAEwAQQBTAFMARQBOACgAcwB0AGUAcAApACkAOwBiAF8AbwByAF8AcwB0AGUAcAA7AFcAVQBSAEQARQBBAFUAUwBHAEUATABBAFMAUwBFAE4AKABzAHQAZQBwACkAOwAxADsAVwBBAEgAUgA7AHMAdABlAHAAKQA7AGEAXwB2ADsASQBOAEQARQBYACgAYQBfAHYAcwA7ADEAOwAxACkAOwBzAF8AZABlAGwAdABhADsARwBBAE4AWgBaAEEASABMACgAYgBfAHYALQBhAF8AdgApACsAMQA7AFMARQBRAFUARQBOAFoAKABzAF8AZABlAGwAdABhADsAMQA7AGEAXwB2ADsAcwB0AGUAcAApACkAKQA7ADsAXABuAFMAVABBAFQALgBDAE8AUgBSAEUAQwBUAC4AUABWAEEATABVAEUAPQBMAEEATQBCAEQAQQAoAHAAXwB2AGEAbAB1AGUAOwBbAGEAbAB0AGUAcgBuAGEAdABpAHYAZQBdADsATABFAFQAKABhAGwAdAA7AFcARQBOAE4AKABXAFUAUgBEAEUAQQBVAFMARwBFAEwAQQBTAFMARQBOACgAYQBsAHQAZQByAG4AYQB0AGkAdgBlACkAOwBcACIAdABcACIAOwBhAGwAdABlAHIAbgBhAHQAaQB2AGUAKQA7AFcARQBOAE4ARgBFAEgATABFAFIAKABFAFIAUwBUAEUAUgBXAEUAUgBUACgAYQBsAHQAOwBcACIAbABcACIAOwBwAF8AdgBhAGwAdQBlADsAXAAiAGcAXAAiADsAMQAtAHAAXwB2AGEAbAB1AGUAOwBcACIAdABcACIAOwAyACoATQBJAE4AKABwAF8AdgBhAGwAdQBlADsAMQAtAHAAXwB2AGEAbAB1AGUAKQA7ACkAOwAjAFcARQBSAFQAIQApACkAKQA7ADsAXABuAFMAVABBAFQALgBEAEUAUwBDAFIASQBCAEUAPQBMAEEATQBCAEQAQQAoAGQAYQB0AGEAOwBbAHQAeQBwAGUAXQA7AFsAbgBhAG0AZQBzAF0AOwBMAEUAVAAoAHQAeQBwAGUAOwBXAEUATgBOACgAVwBVAFIARABFAEEAVQBTAEcARQBMAEEAUwBTAEUATgAoAHQAeQBwAGUAKQA7AFwAIgBtAFwAIgA7AGwAaQBuAGsAcwAoAEsATABFAEkATgAoAHQAeQBwAGUAKQA7ADEAKQApADsAYwBvAGwAaQBkAHMAOwBzAGUAcQB1AGUAbgB6ACgAcwBwAGEAbAB0AGUAbgAoAGQAYQB0AGEAKQApADsAdgBhAGwAcwA7AHoAZQBpAGwAZQBuAHcAYQBoAGwAKABSAEUARABVAEMARQAoAHMAZQBxAHUAZQBuAHoAKAAxADsAVwBFAE4ATgAoAHQAeQBwAGUAPQBcACIAbwBcACIAOwA1ADsAOAApACkAOwBjAG8AbABpAGQAcwA7AEwAQQBNAEIARABBACgAbABpAG4AZQBzADsAYwBvAGwAaQBkADsATABFAFQAKAByAGEAdwBfAHYAYQBsAHUAZQBzADsAcwBwAGEAbAB0AGUAbgB3AGEAaABsACgAZABhAHQAYQA7AGMAbwBsAGkAZAApADsAdgBhAGwAdQBlAHMAOwBmAGkAbAB0AGUAcgAoAHIAYQB3AF8AdgBhAGwAdQBlAHMAOwBpAHMAdAB6AGEAaABsACgAcgBhAHcAXwB2AGEAbAB1AGUAcwApACkAOwBjAG4AdABfAHYAYQBsAHUAZQBzADsAQQBOAFoAQQBIAEwAKAB2AGEAbAB1AGUAcwApADsAYgBhAHMAaQBjAF8AcwB0AGEAdABzADsASABTAFQAQQBQAEUATABOACgATQBJAE4AKAB2AGEAbAB1AGUAcwApADsATQBFAEQASQBBAE4AKAB2AGEAbAB1AGUAcwApADsATQBBAFgAKAB2AGEAbAB1AGUAcwApADsAUwBUAEEAVAAuAEkAUQBSACgAdgBhAGwAdQBlAHMAKQA7AFMAVABBAFQALgBNAEEARAAoAHYAYQBsAHUAZQBzACkAKQA7AHMAZABlAHYAOwBTAFQAQQBCAFcALgBTACgAdgBhAGwAdQBlAHMAKQA7AHYAcwB0AGEAcABlAGwAbgAoAGwAaQBuAGUAcwA7AHcAZQBuAG4AKAB0AHkAcABlAD0AXAAiAG8AXAAiADsASABTAFQAQQBQAEUATABOACgAYwBuAHQAXwB2AGEAbAB1AGUAcwA7AGIAYQBzAGkAYwBfAHMAdABhAHQAcwApADsASABTAFQAQQBQAEUATABOACgAYwBuAHQAXwB2AGEAbAB1AGUAcwA7AE0ASQBUAFQARQBMAFcARQBSAFQAKAB2AGEAbAB1AGUAcwApADsAcwBkAGUAdgA7AHMAZABlAHYALwBXAFUAUgBaAEUATAAoAGMAbgB0AF8AdgBhAGwAdQBlAHMAKQA7AGIAYQBzAGkAYwBfAHMAdABhAHQAcwApACkAKQApACkAKQA7AGMAbwBsAGkAZABzACsAMQApADsAVwBFAE4ATgBTACgAVwBVAFIARABFAEEAVQBTAEcARQBMAEEAUwBTAEUATgAoAG4AYQBtAGUAcwApADsASABTAFQAQQBQAEUATABOACgAYwBvAGwAaQBkAHMAOwB2AGEAbABzACkAOwBaAEUASQBMAEUATgAoAG4AYQBtAGUAcwApAD4AMQA7AEgAUwBUAEEAUABFAEwATgAoAG4AYQBtAGUAcwA7AHYAYQBsAHMAKQA7AFcAQQBIAFIAOwBIAFMAVABBAFAARQBMAE4AKABtAHQAcgBhAG4AcwAoAG4AYQBtAGUAcwApADsAdgBhAGwAcwApACkAKQApADsAOwBcAG4AUwBUAEEAVAAuAEQARQBTAEMAUgBJAEIARQAuAEwAQQBCAEUATABTAD0ATABBAE0AQgBEAEEAKABbAHQAeQBwAGUAXQA7AEwARQBUACgAdAB5AHAAZQA7AFcARQBOAE4AKABXAFUAUgBEAEUAQQBVAFMARwBFAEwAQQBTAFMARQBOACgAdAB5AHAAZQApADsAXAAiAG0AXAAiADsATABJAE4ASwBTACgASwBMAEUASQBOACgAdAB5AHAAZQApADsAMQApACkAOwBsAGEAYgBlAGwAcwBfAGIAYQBzAGUAOwBtAHQAcgBhAG4AcwAoAHsAXAAiAGkAZABcACIAOwBcACIAbgBcACIAfQApADsAbABhAGIAZQBsAHMAXwBtADsAbQB0AHIAYQBuAHMAKAB7AFwAIgBtAGUAYQBuAFwAIgA7AFwAIgBzAHQAZABkAGUAdgBcACIAOwBcACIAcwB0AGQAZQByAHIAXAAiAH0AKQA7AGwAYQBiAGUAbABzAF8AbwA7AG0AdAByAGEAbgBzACgAewBcACIAbQBpAG4AXAAiADsAXAAiAG0AZQBkAGkAYQBuAFwAIgA7AFwAIgBtAGEAeABcACIAOwBcACIASQBRAFIAXAAiADsAXAAiAG0AYQBkAFwAIgB9ACkAOwBXAEUATgBOACgAdAB5AHAAZQA9AFwAIgBvAFwAIgA7AEgAUwBUAEEAUABFAEwATgAoAGwAYQBiAGUAbABzAF8AYgBhAHMAZQA7AGwAYQBiAGUAbABzAF8AbwApADsASABTAFQAQQBQAEUATABOACgAbABhAGIAZQBsAHMAXwBiAGEAcwBlADsAbABhAGIAZQBsAHMAXwBtADsAbABhAGIAZQBsAHMAXwBvACkAKQApACkAOwA7AFwAbgBTAFQAQQBUAC4ASQBRAFIAPQBMAEEATQBCAEQAQQAoAHYAZQBjAHQAbwByAF8AbwByAF8AbQBhAHQAcgBpAHgAOwBTAFUATQBNAEUAKABRAFUAQQBSAFQASQBMAEUALgBJAE4ASwBMACgAdgBlAGMAdABvAHIAXwBvAHIAXwBtAGEAdAByAGkAeAA7AHsAMwA7ADEAfQApACoAewAxADsALQAxAH0AKQApADsAOwBcAG4AUwBUAEEAVAAuAE0AQQBEAD0ATABBAE0AQgBEAEEAKAB2AGUAYwB0AG8AcgBfAG8AcgBfAG0AYQB0AHIAaQB4ADsATQBFAEQASQBBAE4AKABBAEIAUwAoAHYAZQBjAHQAbwByAF8AbwByAF8AbQBhAHQAcgBpAHgALQBNAEUARABJAEEATgAoAHYAZQBjAHQAbwByAF8AbwByAF8AbQBhAHQAcgBpAHgAKQApACkAKQA7ADsAXABuAFMAVABBAFQALgBQAE8ATwBMAEUARAAuAFYAQQBSAEkAQQBOAEMARQA9AEwAQQBNAEIARABBACgAdgBhAGwAdQBlAHMAOwBnAHIAbwB1AHAAcwA7AEwARQBUACgAbgBfAGkAOwBTAFQAQQBUAC4AVABBAEIATABFACgAZwByAG8AdQBwAHMAKQAtADEAOwBzAHUAbQBfAG4AOwBTAFUATQBNAEUAKABuAF8AaQApADsAcwBfAGkAOwBHAFIATwBVAFAALgBTAEQAKAB2AGEAbAB1AGUAcwA7AGcAcgBvAHUAcABzACkAXgAyADsAUwBVAE0ATQBFAE4AUABSAE8ARABVAEsAVAAoAG4AXwBpADsAcwBfAGkAKQAvAHMAdQBtAF8AbgApACkAOwA7AFwAbgBQAC4AQQBEAEoALgBCAE8ATgBGAEUAUgBSAE8ATgBJAD0ATABBAE0AQgBEAEEAKABwAF8AdgA7AG0AXwB2ADsAcABfAHYAKgBtAF8AdgApADsAOwBQAC4AQQBEAEoALgBIAE8ATABNAD0ATABBAE0AQgBEAEEAKABwAF8AdgA7AG0AXwB2ADsATABFAFQAKABwAF8AcwA7AFMATwBSAFQASQBFAFIARQBOACgAcABfAHYAKQA7AGkAZABfAHYAOwBTAEUAUQBVAEUATgBaACgAQQBOAFoAQQBIAEwAKABwAF8AdgApACkAOwBpAGQAXwBzADsAUwBPAFIAVABJAEUAUgBFAE4ATgBBAEMASAAoAGkAZABfAHYAOwBwAF8AdgApADsAcABfAHMAdABhAHIAOwBwAF8AcwAqACgAbQBfAHYAKwAxAC0AaQBkAF8AdgApADsAUwBPAFIAVABJAEUAUgBFAE4ATgBBAEMASAAoAHAAXwBzAHQAYQByADsAaQBkAF8AcwApACkAKQA7ADsAUAAuAEEARABKAC4AUwBJAEQAQQBLAD0ATABBAE0AQgBEAEEAKABwAF8AdgA7AG0AXwB2ADsAMQAtACgAMQAtAHAAXwB2ACkAXgBtAF8AdgApADsAOwBQAC4AQQBEAEoALgBIAE8ATABNAF8AUwBJAEQAQQBLAD0ATABBAE0AQgBEAEEAKABwAF8AdgA7AG0AXwB2ADsATABFAFQAKABwAF8AcwA7AFMATwBSAFQASQBFAFIARQBOACgAcABfAHYAKQA7AGkAZABfAHYAOwBTAEUAUQBVAEUATgBaACgAQQBOAFoAQQBIAEwAKABwAF8AdgApACkAOwBpAGQAXwBzADsAUwBPAFIAVABJAEUAUgBFAE4ATgBBAEMASAAoAGkAZABfAHYAOwBwAF8AdgApADsAcABfAHMAdABhAHIAOwAxAC0AKAAxAC0AcABfAHMAKQBeACgAbQBfAHYAKwAxAC0AaQBkAF8AdgApADsAUwBPAFIAVABJAEUAUgBFAE4ATgBBAEMASAAoAHAAXwBzAHQAYQByADsAaQBkAF8AcwApACkAKQA7ADsAUAAuAEEARABKAC4ASABPAEMASABCAEUAUgBHAD0ATABBAE0AQgBEAEEAKABwAF8AdgA7AG0AXwB2ADsATABFAFQAKABwAF8AcwA7AFMATwBSAFQASQBFAFIARQBOACgAcABfAHYAKQA7AGkAZABfAHYAOwBTAEUAUQBVAEUATgBaACgAQQBOAFoAQQBIAEwAKABwAF8AdgApACkAOwBpAGQAXwBzADsAUwBPAFIAVABJAEUAUgBFAE4ATgBBAEMASAAoAGkAZABfAHYAOwBwAF8AdgApADsAcABfAHMAdABhAHIAOwBwAF8AcwAqAG0AXwB2AC8AKABtAF8AdgArADEALQBpAGQAXwB2ACkAOwBTAE8AUgBUAEkARQBSAEUATgBOAEEAQwBIACgAcABfAHMAdABhAHIAOwBpAGQAXwBzACkAKQApADsAOwBcAG4AUwBUAEEAVAAuAFMARQA9AEwAQQBNAEIARABBACgAdgBhAGwAdQBlAHMAOwBMAEUAVAAoAHMAZABlAHYAOwBTAFQAQQBCAFcALgBTACgAdgBhAGwAdQBlAHMAKQA7AGMAbgB0AF8AdgBhAGwAdQBlAHMAOwBBAE4AWgBBAEgATAAoAHYAYQBsAHUAZQBzACkAOwBzAGQAZQB2AC8AVwBVAFIAWgBFAEwAKABjAG4AdABfAHYAYQBsAHUAZQBzACkAKQApADsAOwBTAFQAQQBUAC4AUwBUAEQALgBFAFIAUgBPAFIAPQBTAFQAQQBUAC4AUwBFADsAOwBcAG4AUwBUAEEAVAAuAFMASQBHAE4APQBMAEEATQBCAEQAQQAoAHYAYQBsAHUAZQA7AC0AMQAqACgAdgBhAGwAdQBlADwAMAApACsAKAB2AGEAbAB1AGUAPgAwACkAKQA7ADsAXABuAFMAVABBAFQALgBUAEEAQgBMAEUAPQBMAEEATQBCAEQAQQAoAGEAdgBhAGwAOwBbAGIAdgBhAGwAXwBvAHIAXwBoAGUAYQBkAGkAbgBnAF0AOwBbAGgAZQBhAGQAaQBuAGcAXQA7AEwARQBUACgAbQBkAGkAbQBfAGEAOwBaAGUAaQBsAGUAbgAoAGEAdgBhAGwAKQAtAFMAcABhAGwAdABlAG4AKABhAHYAYQBsACkAOwBhAHYAYQBsADsAdwBlAG4AbgAoAG0AZABpAG0AXwBhAD4AMAA7AHoAdQBzAHAAYQBsAHQAZQAoAGEAdgBhAGwAKQA7AHoAdQB6AGUAaQBsAGUAKABhAHYAYQBsACkAKQA7AG4AXwBhAHYAYQBsADsAQQBOAFoAQQBIAEwAMgAoAGEAdgBhAGwAKQA7AGkAZABfAGEAdgBhAGwAOwBFAEkATgBEAEUAVQBUAEkARwAoAGEAdgBhAGwAKQA7AGIAXwBwADEAOwBXAEUATgBOAFMAKABXAFUAUgBEAEUAQQBVAFMARwBFAEwAQQBTAFMARQBOACgAYgB2AGEAbABfAG8AcgBfAGgAZQBhAGQAaQBuAGcAKQA7ADAAOwBBAE4AWgBBAEgATAAyACgAYgB2AGEAbABfAG8AcgBfAGgAZQBhAGQAaQBuAGcAKQA9ADEAOwAxADsAQQBOAFoAQQBIAEwAMgAoAGIAdgBhAGwAXwBvAHIAXwBoAGUAYQBkAGkAbgBnACkAPQBuAF8AYQB2AGEAbAA7ADIAOwBXAEEASABSADsAMAApADsAaABlAGEAZABpAG4AZwA7AFcARQBOAE4AUwAoAGIAXwBwADEAPQAxADsAbgAoAGIAdgBhAGwAXwBvAHIAXwBoAGUAYQBkAGkAbgBnACkAOwBXAFUAUgBEAEUAQQBVAFMARwBFAEwAQQBTAFMARQBOACgAaABlAGEAZABpAG4AZwApADsAMAA7AFcAQQBIAFIAOwBuACgAaABlAGEAZABpAG4AZwApACkAPAA+ADAAOwBiAHYAYQBsADsAdwBlAG4AbgAoAGIAXwBwADEAPQAyADsAYgB2AGEAbABfAG8AcgBfAGgAZQBhAGQAaQBuAGcAOwB3AGUAbgBuACgAbQBkAGkAbQBfAGEAPgAwADsAVgBSAEUAUABFAEEAVAAoADEAOwBuAF8AYQB2AGEAbAApADsASABSAEUAUABFAEEAVAAoADEAOwBuAF8AYQB2AGEAbAApACkAKQA7AGkAZABfAGIAdgBhAGwAOwBNAFQAUgBBAE4AUwAoAEUASQBOAEQARQBVAFQASQBHACgAYgB2AGEAbAApACkAOwBpAGQAXwBhAHYAYQBsAFQAOwBNAFQAUgBBAE4AUwAoAGkAZABfAGEAdgBhAGwAKQA7AHIAZQBzAHUAbAB0AHMAOwBNAE0AVQBMAFQAKABtAHQAcgBhAG4AcwAoACgASQBTAFQARgBFAEgATABFAFIAKABpAGQAXwBhAHYAYQBsAFQAKQArAEkAUwBUAEYARQBIAEwARQBSACgAYQB2AGEAbAApAC0ASQBTAFQARgBFAEgATABFAFIAKABhAHYAYQBsACkAKgBJAFMAVABGAEUASABMAEUAUgAoAGkAZABfAGEAdgBhAGwAVAApACkAKgB3AGUAbgBuAGYAZQBoAGwAZQByACgARgBFAEgATABFAFIALgBUAFkAUAAoAGkAZABfAGEAdgBhAGwAVAApAD0ARgBFAEgATABFAFIALgBUAFkAUAAoAGEAdgBhAGwAKQA7ADAAKQArAHcAZQBuAG4AZgBlAGgAbABlAHIAKAAxACoAKABpAGQAXwBhAHYAYQBsAFQAPQBhAHYAYQBsACkAOwAwACkAKQA7ACgASQBTAFQARgBFAEgATABFAFIAKABpAGQAXwBiAHYAYQBsACkAKwBJAFMAVABGAEUASABMAEUAUgAoAGIAdgBhAGwAKQAtAEkAUwBUAEYARQBIAEwARQBSACgAYgB2AGEAbAApACoASQBTAFQARgBFAEgATABFAFIAKABpAGQAXwBiAHYAYQBsACkAKQAqAHcAZQBuAG4AZgBlAGgAbABlAHIAKABGAEUASABMAEUAUgAuAFQAWQBQACgAaQBkAF8AYgB2AGEAbAApAD0ARgBFAEgATABFAFIALgBUAFkAUAAoAGIAdgBhAGwAKQA7ADAAKQArAHcAZQBuAG4AZgBlAGgAbABlAHIAKAAxACoAKABpAGQAXwBiAHYAYQBsAD0AYgB2AGEAbAApADsAMAApACkAOwBXAEUATgBOACgAaABlAGEAZABpAG4AZwA7AHcAZQBuAG4AKABiAF8AcAAxAD0AMgA7AFYAUwBUAEEAUABFAEwATgAoAEgAUwBUAEEAUABFAEwATgAoAFwAIgBcACIAOwBpAGQAXwBiAHYAYQBsACkAOwBIAFMAVABBAFAARQBMAE4AKABpAGQAXwBhAHYAYQBsADsAcgBlAHMAdQBsAHQAcwApACkAOwBIAFMAVABBAFAARQBMAE4AKABpAGQAXwBhAHYAYQBsADsAcgBlAHMAdQBsAHQAcwApACkAOwByAGUAcwB1AGwAdABzACkAKQApADsAOwBcAG4AUwBUAEEAVAAuAEQARQBTAEMAUgBJAEIARQAuAE4ATwBNAEkATgBBAEwAPQBMAEEATQBCAEQAQQAoAGQAYQB0AGEAOwBbAHYAYQByAGkAYQBiAGwAZQBdADsATABFAFQAKAB2AGEAcgBpAGEAYgBsAGUAOwB3AGUAbgBuACgAVwBVAFIARABFAEEAVQBTAEcARQBMAEEAUwBTAEUATgAoAHYAYQByAGkAYQBiAGwAZQApADsAXAAiAFwAIgA7AHYAYQByAGkAYQBiAGwAZQApADsAVgBTAFQAQQBQAEUATABOACgASABTAFQAQQBQAEUATABOACgAdgBhAHIAaQBhAGIAbABlADsAXAAiAEEAYgBzAG8AbAB1AHQAXAAiADsAXAAiAFIAZQBsAGEAdABpAHYAXAAiACkAOwBIAFMAVABBAFAARQBMAE4AKABTAFQAQQBUAC4AVABBAEIATABFACgAZABhAHQAYQA7AFcAQQBIAFIAKQA7AHMAdABhAHQALgB0AGEAYgBsAGUALgByAGUAbABhAHQAaQB2AGUAKABkAGEAdABhACkAKQApACkAKQA7ADsAXABuAFMAVABBAFQALgBUAEEAQgBMAEUALgBSAEUATABBAFQASQBWAEUAPQBMAEEATQBCAEQAQQAoAGEAdgBhAGwAOwBbAGIAdgBhAGwAXwBvAHIAXwBoAGUAYQBkAGkAbgBnAF0AOwBbAGgAZQBhAGQAaQBuAGcAXQA7AEwARQBUACgAYgBfAHAAMQA7AFcARQBOAE4AUwAoAFcAVQBSAEQARQBBAFUAUwBHAEUATABBAFMAUwBFAE4AKABiAHYAYQBsAF8AbwByAF8AaABlAGEAZABpAG4AZwApADsAMAA7AEEATgBaAEEASABMADIAKABiAHYAYQBsAF8AbwByAF8AaABlAGEAZABpAG4AZwApAD0AMQA7ADEAOwBBAE4AWgBBAEgATAAyACgAYgB2AGEAbABfAG8AcgBfAGgAZQBhAGQAaQBuAGcAKQA9AEEAbgB6AGEAaABsADIAKABhAHYAYQBsACkAOwAyADsAVwBBAEgAUgA7ADAAKQA7AGgAZQBhAGQAaQBuAGcAOwBXAEUATgBOAFMAKABiAF8AcAAxAD0AMQA7AG4AKABiAHYAYQBsAF8AbwByAF8AaABlAGEAZABpAG4AZwApADsAVwBVAFIARABFAEEAVQBTAEcARQBMAEEAUwBTAEUATgAoAGgAZQBhAGQAaQBuAGcAKQA7ADAAOwBXAEEASABSADsAbgAoAGgAZQBhAGQAaQBuAGcAKQApADwAPgAwADsAdABhAGIAOwB3AGUAbgBuACgAYgBfAHAAMQA9ADIAOwBTAFQAQQBUAC4AVABBAEIATABFACgAYQB2AGEAbAA7AGIAdgBhAGwAXwBvAHIAXwBoAGUAYQBkAGkAbgBnACkAOwBTAFQAQQBUAC4AVABBAEIATABFACgAYQB2AGEAbAApACkAOwB0AG8AdABhAGwAcwA7AHMAdQBtAG0AZQAoAHQAYQBiACkAOwByAGUAcwB1AGwAdABzADsAdABhAGIALwB0AG8AdABhAGwAcwA7AGkAZABfAGEAdgBhAGwAOwBFAEkATgBEAEUAVQBUAEkARwAoAGEAdgBhAGwAKQA7AGkAZABfAGIAdgBhAGwAOwBXAEUATgBOACgAYgBfAHAAMQA9ADIAOwBtAHQAcgBhAG4AcwAoAEUASQBOAEQARQBVAFQASQBHACgAYgB2AGEAbABfAG8AcgBfAGgAZQBhAGQAaQBuAGcAKQApADsAIwBOAFYAKQA7AHcAZQBuAG4AKABoAGUAYQBkAGkAbgBnADsAdwBlAG4AbgAoAGIAXwBwADEAPQAyADsAVgBTAFQAQQBQAEUATABOACgASABTAFQAQQBQAEUATABOACgAXAAiAFwAIgA7AGkAZABfAGIAdgBhAGwAKQA7AEgAUwBUAEEAUABFAEwATgAoAGkAZABfAGEAdgBhAGwAOwByAGUAcwB1AGwAdABzACkAKQA7AEgAUwBUAEEAUABFAEwATgAoAGkAZABfAGEAdgBhAGwAOwByAGUAcwB1AGwAdABzACkAKQA7AHIAZQBzAHUAbAB0AHMAKQApACkAOwA7AFwAbgBUAEEAQgBMAEUALgBTAEUATABFAEMAVAA9AEwAQQBNAEIARABBACgAdABhAGIAXwBuAGEAbQBlADsAYwBvAGwAXwBuAGEAbQBlAHMAOwBbAHcAaQB0AGgAXwBoAGUAYQBkAGUAcgBzAF0AOwBsAGUAdAAoAG4AXwByAG8AdwBzADsAWgBFAEkATABFAE4AKABJAE4ARABJAFIARQBLAFQAKAB0AGEAYgBfAG4AYQBtAGUAKQApADsAYwBvAGwAXwByAGUAZgBzADsAdABhAGIAXwBuAGEAbQBlACYAXAAiAFsAXAAiACYAYwBvAGwAXwBuAGEAbQBlAHMAJgBcACIAXQBcACIAOwBuAG8AXwByAG8AdwBzADsAcwBlAHEAdQBlAG4AegAoAG4AXwByAG8AdwBzACkAOwBuAG8AXwBjAG8AbABzADsAcwBlAHEAdQBlAG4AegAoAEEATgBaAEEASABMADIAKABjAG8AbABfAG4AYQBtAGUAcwApACkAKwAxADsAYwBvAGwAXwBoAGUAYQBkAGUAcgBzADsAVwBFAE4ATgAoAFoARQBJAEwARQBOACgAYwBvAGwAXwBuAGEAbQBlAHMAKQA+AFMAUABBAEwAVABFAE4AKABjAG8AbABfAG4AYQBtAGUAcwApADsATQBUAFIAQQBOAFMAKABjAG8AbABfAG4AYQBtAGUAcwApADsAYwBvAGwAXwBuAGEAbQBlAHMAKQA7AHIAZQBzAHUAbAB0ADsAUwBQAEEATABUAEUATgBXAEEASABMACgAUgBFAEQAVQBDAEUAKABuAG8AXwByAG8AdwBzADsAYwBvAGwAXwByAGUAZgBzADsATABBAE0AQgBEAEEAKABhAGMAYwB1ADsAYwBvAGwAXwByAGUAZgA7AEgAUwBUAEEAUABFAEwATgAoAGEAYwBjAHUAOwBMAEUAVAAoAHYAYQBsAHUAZQBzADsASQBOAEQASQBSAEUASwBUACgAYwBvAGwAXwByAGUAZgApADsAdwBlAG4AbgAoAEkAUwBUAEwARQBFAFIAKAB2AGEAbAB1AGUAcwApADsAIwBOAFYAOwB2AGEAbAB1AGUAcwApACkAKQApACkAOwBuAG8AXwBjAG8AbABzACkAOwBXAEUATgBOACgATwBEAEUAUgAoAFcAVQBSAEQARQBBAFUAUwBHAEUATABBAFMAUwBFAE4AKAB3AGkAdABoAF8AaABlAGEAZABlAHIAcwApADsATgBJAEMASABUACgAdwBpAHQAaABfAGgAZQBhAGQAZQByAHMAKQApADsAcgBlAHMAdQBsAHQAOwBWAFMAVABBAFAARQBMAE4AKABjAG8AbABfAGgAZQBhAGQAZQByAHMAOwByAGUAcwB1AGwAdAApACkAKQApADsAOwBcAG4AQQBOAE8AVgBBAC4AVABFAFMAVAA9AEwAQQBNAEIARABBACgAdgBhAGwAdQBlAHMAOwBnAHIAbwB1AHAAcwA7AFsAaABlAGEAZABlAHIAcwBdADsATABFAFQAKABuAF8AagA7AEcAUgBPAFUAUAAuAEMATwBVAE4AVAAoAGcAcgBvAHUAcABzACkAOwBnAHIAbwB1AHAAXwBrADsAQQBOAFoAQQBIAEwAKABuAF8AagApADsATgBfAGEAbABsADsAQQBOAFoAQQBIAEwAKAB2AGEAbAB1AGUAcwApADsAZABmAF8AMQA7AGcAcgBvAHUAcABfAGsALQAxADsAZABmAF8AMgA7AE4AXwBhAGwAbAAtAGcAcgBvAHUAcABfAGsAOwBtAHUAXwBhAGwAbAA7AE0ASQBUAFQARQBMAFcARQBSAFQAKAB2AGEAbAB1AGUAcwApADsAbQB1AF8AagA7AEcAUgBPAFUAUAAuAE0ARQBBAE4AKAB2AGEAbAB1AGUAcwA7AGcAcgBvAHUAcABzACkAOwBtAF8AZwByAG8AdQBwAHMAOwAxACoAKABnAHIAbwB1AHAAcwA9AE0AVABSAEEATgBTACgARwBSAE8AVQBQAC4ATABBAEIARQBMAFMAKABnAHIAbwB1AHAAcwApACkAKQA7AHQAXwBTAFMAQgA7AFMAVQBNAE0ARQAoAG4AXwBqACoAKABtAHUAXwBqAC0AbQB1AF8AYQBsAGwAKQBeADIAKQA7AHQAXwBTAFMARQA7AFMAVQBNAE0ARQAoACgAbQBfAGcAcgBvAHUAcABzACoAdgBhAGwAdQBlAHMALQBtAF8AZwByAG8AdQBwAHMAKgBNAFQAUgBBAE4AUwAoAG0AdQBfAGoAKQApAF4AMgApADsARgBfAHYAYQBsAHUAZQA7ACgAdABfAFMAUwBCAC8AZABmAF8AMQApAC8AKAB0AF8AUwBTAEUALwBkAGYAXwAyACkAOwBwAF8AdgBhAGwAdQBlADsARgAuAFYARQBSAFQALgBSAEUAKABGAF8AdgBhAGwAdQBlADsAZABmAF8AMQA7AGQAZgBfADIAKQA7AHIAZQBzAHUAbAB0AHMAOwBIAFMAVABBAFAARQBMAE4AKABGAF8AdgBhAGwAdQBlADsAZABmAF8AMQA7AGQAZgBfADIAOwBwAF8AdgBhAGwAdQBlACkAOwB3AGUAbgBuACgAbwBkAGUAcgAoAFcAVQBSAEQARQBBAFUAUwBHAEUATABBAFMAUwBFAE4AKABoAGUAYQBkAGUAcgBzACkAOwBuAGkAYwBoAHQAKABoAGUAYQBkAGUAcgBzACkAKQA7AHIAZQBzAHUAbAB0AHMAOwBWAFMAVABBAFAARQBMAE4AKABIAFMAVABBAFAARQBMAE4AKABcACIARgBcACIAOwBcACIAZABmAF8AMQBcACIAOwBcACIAZABmAF8AMgBcACIAOwBcACIAcABcACIAKQA7AHIAZQBzAHUAbAB0AHMAKQApACkAKQA7ADsAXABuAEMASABJAFEAVQAuAFQARQBTAFQALgBTAD0ATABBAE0AQgBEAEEAKAB4AF8AaQA7AHkAXwBpADsAWwBoAGUAYQBkAGUAcgBdADsATABFAFQAKABuAF8AaQBqADsAUwBUAEEAVAAuAFQAQQBCAEwARQAoAHgAXwBpADsAeQBfAGkAKQA7AFcARQBOAE4AKABXAFUAUgBEAEUAQQBVAFMARwBFAEwAQQBTAFMARQBOACgAaABlAGEAZABlAHIAKQA7AEMASABJAFEAVQAuAFQARQBTAFQALgBYACgAbgBfAGkAagA7AEYAQQBMAFMAQwBIACkAOwBDAEgASQBRAFUALgBUAEUAUwBUAC4AWAAoAG4AXwBpAGoAOwBoAGUAYQBkAGUAcgApACkAKQApADsAOwBDAEgASQBRAFUALgBUAEUAUwBUADIAPQBDAEgASQBRAFUALgBUAEUAUwBUAC4AUwA7ADsAXABuAEMASABJAFEAVQAuAFQARQBTAFQAMgAuAEgARQBBAEQARQBSAD0ATABBAE0AQgBEAEEAKABIAFMAVABBAFAARQBMAE4AKABcACIAcABcACIAOwBcACIAZABmAFwAIgApACkAOwA7AFwAbgBDAEgASQBRAFUALgBUAEUAUwBUAC4AWAA9AEwAQQBNAEIARABBACgAbgBfAGkAagA7AFsAaABlAGEAZABlAHIAXQA7AEwARQBUACgAbgBfAGkAOwByAG8AdwBzAHUAbQAoAG4AXwBpAGoAKQA7AG4AXwBqADsAYwBvAGwAcwB1AG0AKABuAF8AaQBqACkAOwBuADsAUwBVAE0ATQBFACgAbgBfAGoAKQA7AEUAVwA7AG4AXwBpACoAbgBfAGoALwBuADsAdgBfAHgAaQAyADsAUwBVAE0ATQBFACgAKABuAF8AaQBqAC0ARQBXACkAXgAyAC8ARQBXACkAOwBkAGYAOwBNAEEAWAAoAEEATgBaAEEASABMACgAbgBfAGkAKQA7AEEATgBaAEEASABMACgAbgBfAGoAKQApAC0AMQA7AHIAZQBzAHUAbAB0AHMAOwBIAFMAVABBAFAARQBMAE4AKABDAEgASQBRAFUALgBWAEUAUgBUAC4AUgBFACgAdgBfAHgAaQAyADsAZABmACkAOwBkAGYAKQA7AHcAZQBuAG4AKABPAEQARQBSACgAVwBVAFIARABFAEEAVQBTAEcARQBMAEEAUwBTAEUATgAoAGgAZQBhAGQAZQByACkAOwBOAEkAQwBIAFQAKABoAGUAYQBkAGUAcgApACkAOwByAGUAcwB1AGwAdABzADsAVgBTAFQAQQBQAEUATABOACgAQwBIAEkAUQBVAC4AVABFAFMAVAAyAC4ASABFAEEARABFAFIAKAApADsAcgBlAHMAdQBsAHQAcwApACkAKQApADsAOwBcAG4ARABVAE4ATgAuAFQARQBTAFQAPQBMAEEATQBCAEQAQQAoAHYAYQBsAHUAZQBzADsAZwByAG8AdQBwAHMAOwBbAGEAZABqAHUAcwB0AG0AZQBuAHQAXQA7AEwARQBUACgAcgBhAG4AawBzADsAUgBBAE4ARwAuAE0ASQBUAFQARQBMAFcAKAB2AGEAbAB1AGUAcwA7AHYAYQBsAHUAZQBzACkAOwBuAF8AYQBsAGwAOwBBAE4AWgBBAEgATAAoAHYAYQBsAHUAZQBzACkAOwBuAF8AaQA7AEcAUgBPAFUAUAAuAEMATwBVAE4AVAAoAGcAcgBvAHUAcABzACkAOwBnAHIAbwB1AHAAXwBpADsARQBJAE4ARABFAFUAVABJAEcAKABnAHIAbwB1AHAAcwApADsAcgBhAG4AawBzAHUAbQBfAGkAOwBDAE8ATABTAFUATQAoAHIAYQBuAGsAcwAqACgAZwByAG8AdQBwAHMAPQBNAFQAUgBBAE4AUwAoAGcAcgBvAHUAcABfAGkAKQApACkALwBNAFQAUgBBAE4AUwAoAG4AXwBpACkAOwBzAGkAZwBtAGEAXwBjAG8AcgByAGUAYwB0AGkAbwBuADsAbgBfAGEAbABsACoAKABuAF8AYQBsAGwAKwAxACkALwAxADIAOwBiAGkAbgBkAF8AYwBvAHUAbgB0ADsARwBSAE8AVQBQAC4AQwBPAFUATgBUACgAcgBhAG4AawBzACkAOwBiAGkAbgBkAF8AYwBvAHIAcgBlAGMAdABpAG8AbgA7AFMAVQBNAE0ARQAoAGIAaQBuAGQAXwBjAG8AdQBuAHQAXgAzAC0AYgBpAG4AZABfAGMAbwB1AG4AdAApAC8AKAAxADIAKgAoAG4AXwBhAGwAbAAtADEAKQApADsAbQBhAHQAXwB0AHIAaQBhAG4AZwA7AE0AVABSAEkAQQBOAEcATABFACgAQQBOAFoAQQBIAEwAKABuAF8AaQApADsARgBBAEwAUwBDAEgAOwBXAEEASABSACkAOwBtAGEAdABfAFcAMQA7AG0AYQB0AF8AdAByAGkAYQBuAGcAKgBtAHQAcgBhAG4AcwAoAHIAYQBuAGsAcwB1AG0AXwBpACkAOwBtAGEAdABfAFcAMgA7AG0AYQB0AF8AdAByAGkAYQBuAGcAKgByAGEAbgBrAHMAdQBtAF8AaQA7AG0AYQB0AF8AbgAxADsAbQBhAHQAXwB0AHIAaQBhAG4AZwAqAE0AVABSAEEATgBTACgAMQAvAG4AXwBpACkAOwBtAGEAdABfAG4AMgA7AG0AYQB0AF8AdAByAGkAYQBuAGcAKgAxAC8AbgBfAGkAOwBzAGkAZwBtAGEAOwBXAFUAUgBaAEUATAAoACgAcwBpAGcAbQBhAF8AYwBvAHIAcgBlAGMAdABpAG8AbgAtAGIAaQBuAGQAXwBjAG8AcgByAGUAYwB0AGkAbwBuACkAKgAoAG0AYQB0AF8AbgAxACsAbQBhAHQAXwBuADIAKQApADsAZABlAGwAdABhAF8AUgBTADsAbQBhAHQAXwBXADEALQBtAGEAdABfAFcAMgA7AHoAXwB2AGEAbAB1AGUAOwBkAGUAbAB0AGEAXwBSAFMALwBzAGkAZwBtAGEAOwBnAF8AbgBiAHIAOwBTAEUAUQBVAEUATgBaACgAQQBOAFoAQQBIAEwAKABuAF8AaQApACkAOwB6AF8AaQBkAF8AcgBhAHcAOwB6AHUAcwBwAGEAbAB0AGUAKABnAF8AbgBiAHIAKgBtAGEAdABfAHQAcgBpAGEAbgBnACkAOwBzAF8AaQBkAF8AcgBhAHcAOwB6AHUAcwBwAGEAbAB0AGUAKABtAHQAcgBhAG4AcwAoAGcAXwBuAGIAcgApACoAbQBhAHQAXwB0AHIAaQBhAG4AZwApADsAegBfAGkAZAA7AGYAaQBsAHQAZQByACgAegBfAGkAZABfAHIAYQB3ADsAegBfAGkAZABfAHIAYQB3ACkAOwBzAF8AaQBkADsAZgBpAGwAdABlAHIAKABzAF8AaQBkAF8AcgBhAHcAOwBzAF8AaQBkAF8AcgBhAHcAKQA7AHoAXwBmAGkAbgBhAGwAOwBpAG4AZABlAHgAKAB6AF8AdgBhAGwAdQBlADsAegBfAGkAZAA7AHMAXwBpAGQAKQA7AG0AXwBwAGEAaQByAHMAOwBzAHUAbQBtAGUAKABTAEUAUQBVAEUATgBaACgAQQBOAFoAQQBIAEwAKABuAF8AaQApADsAMQA7ADAAKQApADsAcABfAHYAYQBsAHUAZQBfAHIAYQB3ADsATgBPAFIATQAuAFMALgBWAEUAUgBUACgAdwBlAG4AbgAoAHoAXwBmAGkAbgBhAGwAPgAwADsALQAxACoAegBfAGYAaQBuAGEAbAA7AHoAXwBmAGkAbgBhAGwAKQA7AFcAQQBIAFIAKQA7AHAAXwB2AGEAbAB1AGUAOwBXAEUATgBOAFMAKABPAEQARQBSACgAVwBVAFIARABFAEEAVQBTAEcARQBMAEEAUwBTAEUATgAoAGEAZABqAHUAcwB0AG0AZQBuAHQAKQA7AEsATABFAEkATgAoAGEAZABqAHUAcwB0AG0AZQBuAHQAKQA9AFwAIgBoAG8AbABtAFwAIgApADsAUAAuAEEARABKAC4ASABPAEwATQAoAHAAXwB2AGEAbAB1AGUAXwByAGEAdwA7AG0AXwBwAGEAaQByAHMAKQA7AEsATABFAEkATgAoAGEAZABqAHUAcwB0AG0AZQBuAHQAKQA9AFwAIgBiAG8AbgBmAGUAcgByAG8AbgBpAFwAIgA7AFAALgBBAEQASgAuAEIATwBOAEYARQBSAFIATwBOAEkAKABwAF8AdgBhAGwAdQBlAF8AcgBhAHcAOwBtAF8AcABhAGkAcgBzACkAOwBLAEwARQBJAE4AKABhAGQAagB1AHMAdABtAGUAbgB0ACkAPQBcACIAaABvAGMAaABiAGUAcgBnAFwAIgA7AFAALgBBAEQASgAuAEgATwBDAEgAQgBFAFIARwAoAHAAXwB2AGEAbAB1AGUAXwByAGEAdwA7AG0AXwBwAGEAaQByAHMAKQA7AEsATABFAEkATgAoAGEAZABqAHUAcwB0AG0AZQBuAHQAKQA9AFwAIgBzAGkAZABhAGsAXAAiADsAUAAuAEEARABKAC4AUwBJAEQAQQBLACgAcABfAHYAYQBsAHUAZQBfAHIAYQB3ADsAbQBfAHAAYQBpAHIAcwApADsASwBMAEUASQBOACgAYQBkAGoAdQBzAHQAbQBlAG4AdAApAD0AXAAiAGgAbwBsAG0AcwBpAGQAYQBrAFwAIgA7AFAALgBBAEQASgAuAEgATwBMAE0AXwBTAEkARABBAEsAKABwAF8AdgBhAGwAdQBlAF8AcgBhAHcAOwBtAF8AcABhAGkAcgBzACkAOwBLAEwARQBJAE4AKABhAGQAagB1AHMAdABtAGUAbgB0ACkAPQBcACIAaABvAGwAbQAtAHMAaQBkAGEAawBcACIAOwBQAC4AQQBEAEoALgBIAE8ATABNAF8AUwBJAEQAQQBLACgAcABfAHYAYQBsAHUAZQBfAHIAYQB3ADsAbQBfAHAAYQBpAHIAcwApADsASwBMAEUASQBOACgAYQBkAGoAdQBzAHQAbQBlAG4AdAApAD0AXAAiAGgAbwBsAG0AXwBzAGkAZABhAGsAXAAiADsAUAAuAEEARABKAC4ASABPAEwATQBfAFMASQBEAEEASwAoAHAAXwB2AGEAbAB1AGUAXwByAGEAdwA7AG0AXwBwAGEAaQByAHMAKQA7AFcAQQBIAFIAOwBwAF8AdgBhAGwAdQBlAF8AcgBhAHcAKQA7AHYAcwB0AGEAcABlAGwAbgAoAEgAUwBUAEEAUABFAEwATgAoAFwAIgBBAFwAIgA7AFwAIgBCAFwAIgA7AFwAIgBTAHQAYQB0AGkAcwB0AGkAawBcACIAOwBcACIAcABcACIAKQA7AEgAUwBUAEEAUABFAEwATgAoAFoARQBJAEwARQBOAFcAQQBIAEwAKABnAHIAbwB1AHAAXwBpADsAegBfAGkAZAApADsAegBlAGkAbABlAG4AdwBhAGgAbAAoAGcAcgBvAHUAcABfAGkAOwBzAF8AaQBkACkAOwB6AF8AZgBpAG4AYQBsADsAdwBlAG4AbgAoAHAAXwB2AGEAbAB1AGUAPgAxADsAMQA7AHAAXwB2AGEAbAB1AGUAKQApACkAKQApADsAOwBcAG4ARgAuAFQARQBTAFQALgBTAD0ATABBAE0AQgBEAEEAKABhAF8AdgA7AHUAXwB2ADsAWwBoAGUAYQBkAGUAcgBzAF0AOwBMAEUAVAAoAGwAXwB1AHYAOwBaAFUAUwBQAEEATABUAEUAKABFAEkATgBEAEUAVQBUAEkARwAoAHUAXwB2ACkAKQA7AHIAZQBzAHUAbAB0ADsAVwBFAE4ATgAoAEEATgBaAEEASABMADIAKABsAF8AdQB2ACkAPQAyADsARgAuAFQARQBTAFQAKABGAEkATABUAEUAUgAoAGEAXwB2ADsAdQBfAHYAPQBJAE4ARABFAFgAKAB1AF8AdgA7ADEAOwAxACkAKQA7AEYASQBMAFQARQBSACgAYQBfAHYAOwB1AF8AdgA9AEkATgBEAEUAWAAoAHUAXwB2ADsAMgA7ADEAKQApACkAOwAjAFcARQBSAFQAIQApADsAVwBFAE4ATgAoAE8ARABFAFIAKABXAFUAUgBEAEUAQQBVAFMARwBFAEwAQQBTAFMARQBOACgAaABlAGEAZABlAHIAcwApADsATgBJAEMASABUACgAaABlAGEAZABlAHIAcwApACkAOwByAGUAcwB1AGwAdAA7AFYAUwBUAEEAUABFAEwATgAoAFwAIgBwAFwAIgA7AHIAZQBzAHUAbAB0ACkAKQApACkAOwA7AFwAbgBLAFIAVQBTAEsAQQBMAF8AVwBBAEwATABJAFMALgBUAEUAUwBUAD0ATABBAE0AQgBEAEEAKAB2AGEAbAB1AGUAcwA7AGcAcgBvAHUAcABzADsAWwBoAGUAYQBkAGUAcgBzAF0AOwBMAEUAVAAoAG4AXwBhAGwAbAA7AEEATgBaAEEASABMACgAdgBhAGwAdQBlAHMAKQA7AG4AXwBnAHIAbwB1AHAAcwA7AEEATgBaAEEASABMADIAKABFAEkATgBEAEUAVQBUAEkARwAoAGcAcgBvAHUAcABzACkAKQA7AGQAXwBmADsAbgBfAGcAcgBvAHUAcABzAC0AMQA7AG4AXwBoADsARwBSAE8AVQBQAC4AQwBPAFUATgBUACgAZwByAG8AdQBwAHMAKQA7AHIAYQBuAGsAcwA7AFIAQQBOAEcALgBNAEkAVABUAEUATABXACgAdgBhAGwAdQBlAHMAOwB2AGEAbAB1AGUAcwApADsAYgBfAGIAaQBuAGQAaQBuAGcAcwA7AEEATgBaAEEASABMACgARQBJAE4ARABFAFUAVABJAEcAKAByAGEAbgBrAHMAKQApADwAbgBfAGEAbABsADsAaABfAGMAbwByAHIAZQBjAHQAaQBvAG4AOwAtADMAKgAoAG4AXwBhAGwAbAArADEAKQA7AGgAXwBmAGEAYwB0AG8AcgA7ADEAMgAvACgAbgBfAGcAcgBvAHUAcABzACoAKABuAF8AZwByAG8AdQBwAHMAKwAxACkALQBoAF8AYwBvAHIAcgBlAGMAdABpAG8AbgApADsAbQBfAGcAcgBvAHUAcABzADsAMQAqACgAZwByAG8AdQBwAHMAPQBNAFQAUgBBAE4AUwAoAEUASQBOAEQARQBVAFQASQBHACgAZwByAG8AdQBwAHMAKQApACkAOwBIAF8AYwBvAHIAZQA7AGgAXwBmAGEAYwB0AG8AcgAqAFMAVQBNAE0ARQAoAEMATwBMAFMAVQBNACgAbQBfAGcAcgBvAHUAcABzACoAcgBhAG4AawBzACkALwBNAFQAUgBBAE4AUwAoAG4AXwBoACkAKQA7AGIAaQBuAGQAXwBmAGEAYwB0AG8AcgA7ADEALwAoAG4AXwBhAGwAbABeADMALQBuAF8AYQBsAGwAKQA7AGIAaQBuAGQAXwBjAG8AdQBuAHQAOwBHAFIATwBVAFAALgBDAE8AVQBOAFQAKAByAGEAbgBrAHMAKQA7AGIAaQBuAGQAXwBjAG8AcgByAGUAYwB0AGkAbwBuADsAMQAtAFMAVQBNAE0ARQAoAGIAaQBuAGQAXwBjAG8AdQBuAHQAXgAzAC0AYgBpAG4AZABfAGMAbwB1AG4AdAApACoAYgBpAG4AZABfAGYAYQBjAHQAbwByADsASABfAHYAYQBsAHUAZQA7AHcAZQBuAG4AKABiAF8AYgBpAG4AZABpAG4AZwBzADsASABfAGMAbwByAGUALwBiAGkAbgBkAF8AYwBvAHIAcgBlAGMAdABpAG8AbgA7AEgAXwBjAG8AcgBlACkAOwBwAF8AdgBhAGwAdQBlADsAQwBIAEkAUQBVAC4AVgBFAFIAVAAuAFIARQAoAEgAXwB2AGEAbAB1AGUAOwBkAF8AZgApADsAcgBlAHMAdQBsAHQAcwA7AEgAUwBUAEEAUABFAEwATgAoAEgAXwB2AGEAbAB1AGUAOwBkAF8AZgA7AHAAXwB2AGEAbAB1AGUAKQA7AHcAZQBuAG4AKABvAGQAZQByACgAVwBVAFIARABFAEEAVQBTAEcARQBMAEEAUwBTAEUATgAoAGgAZQBhAGQAZQByAHMAKQA7AG4AaQBjAGgAdAAoAGgAZQBhAGQAZQByAHMAKQApADsAcgBlAHMAdQBsAHQAcwA7AFYAUwBUAEEAUABFAEwATgAoAEgAUwBUAEEAUABFAEwATgAoAFwAIgBIAFwAIgA7AFwAIgBkAGYAXAAiADsAXAAiAHAAXAAiACkAOwByAGUAcwB1AGwAdABzACkAKQApACkAOwA7AFwAbgBMAEUAVgBFAE4ARQAuAFQARQBTAFQAPQBMAEEATQBCAEQAQQAoAHgAXwBpADsAeQBfAGkAOwBbAGgAZQBhAGQAZQByAHMAXQA7AEwARQBUACgAbQBfAGcAcgBwADsARwBSAE8AVQBQAC4ATQBFAEQASQBBAE4AKAB4AF8AaQA7AHkAXwBpACkAOwBtAG4AXwBnAHIAcAA7AEcAUgBPAFUAUAAuAE0ARQBBAE4AKAB4AF8AaQA7AHkAXwBpACkAOwBuAF8AZwByAHAAOwBHAFIATwBVAFAALgBDAE8AVQBOAFQAKAB5AF8AaQApADsAbABfAGcAcgBwADsARQBJAE4ARABFAFUAVABJAEcAKAB5AF8AaQApADsAcgBlAHMAaQBfAGcAcgBwADsAKAB4AF8AaQAtAHgAdgBlAHIAdwBlAGkAcwAoAHkAXwBpADsAbABfAGcAcgBwADsAbQBfAGcAcgBwACkAKQBeADIAOwBtAF8AYQBsAGwAOwBNAEkAVABUAEUATABXAEUAUgBUACgAeABfAGkAKQA7AG4AXwBhAGwAbAA7AFMAVQBNAE0ARQAoAG4AXwBnAHIAcAApADsAbgBfAGsAOwBBAE4AWgBBAEgATAAyACgAbABfAGcAcgBwACkAOwBXAF8AdgBhAGwAOwAoAG4AXwBhAGwAbAAtAG4AXwBrACkALwAoAG4AXwBrAC0AMQApACoAKABTAFUATQBNAEUAKABuAF8AZwByAHAAKgAoAG0AbgBfAGcAcgBwAC0AbQBfAGEAbABsACkAXgAyACkALwBTAFUATQBNAEUAKAByAGUAcwBpAF8AZwByAHAAKQApADsAcABfAHYAYQBsADsARgAuAFYARQBSAFQAKABXAF8AdgBhAGwAOwBuAF8AawAtADEAOwBuAF8AYQBsAGwALQBuAF8AawA7AFcAQQBIAFIAKQAvADIAOwByAGUAcwB1AGwAdABzADsASABTAFQAQQBQAEUATABOACgAVwBfAHYAYQBsADsAbgBfAGsALQAxADsAbgBfAGEAbABsAC0AbgBfAGsAOwBwAF8AdgBhAGwAKQA7AHcAZQBuAG4AKABvAGQAZQByACgAVwBVAFIARABFAEEAVQBTAEcARQBMAEEAUwBTAEUATgAoAGgAZQBhAGQAZQByAHMAKQA7AG4AaQBjAGgAdAAoAGgAZQBhAGQAZQByAHMAKQApADsAcgBlAHMAdQBsAHQAcwA7AFYAUwBUAEEAUABFAEwATgAoAEgAUwBUAEEAUABFAEwATgAoAFwAIgBXAFwAIgA7AFwAIgBkAGYAXwAxAFwAIgA7AFwAIgBkAGYAXwAyAFwAIgA7AFwAIgBwAFwAIgApADsAcgBlAHMAdQBsAHQAcwApACkAKQApADsAOwBcAG4AUABBAEkAUgBXAEkAUwBFAC4ARgAuAFQARQBTAFQAPQBMAEEATQBCAEQAQQAoAHYAYQBsAHUAZQBzADsAZwByAG8AdQBwAHMAOwBbAGEAZABqAHUAcwB0AG0AZQBuAHQAXQA7AEwARQBUACgAbgBfAGEAbABsADsAQQBOAFoAQQBIAEwAKAB2AGEAbAB1AGUAcwApADsAZwByAG8AdQBwAF8AbgBhAG0AZQBzADsARQBJAE4ARABFAFUAVABJAEcAKABnAHIAbwB1AHAAcwApADsAawBfAGEAbABsADsAQQBOAFoAQQBIAEwAMgAoAGcAcgBvAHUAcABfAG4AYQBtAGUAcwApADsAbQBfAHQAcgBpAGEAbgBnADsATQBUAFIASQBBAE4ARwBMAEUAKABrAF8AYQBsAGwAOwA7ADEAKQA7AGcAcgBvAHUAcABfAGkAZAA7AFMARQBRAFUARQBOAFoAKABrAF8AYQBsAGwAKQA7AGcAcgBwAF8AMQA7AFoAVQBTAFAAQQBMAFQARQAoAG0AXwB0AHIAaQBhAG4AZwAqAGcAcgBvAHUAcABfAGkAZAApADsAZwByAHAAXwAyADsAWgBVAFMAUABBAEwAVABFACgAbQBfAHQAcgBpAGEAbgBnACoATQBUAFIAQQBOAFMAKABnAHIAbwB1AHAAXwBpAGQAKQApADsAZwAxAF8AaQBkADsAZgBpAGwAdABlAHIAKABnAHIAcABfADEAOwBnAHIAcABfADEAKQA7AGcAMgBfAGkAZAA7AGYAaQBsAHQAZQByACgAZwByAHAAXwAyADsAZwByAHAAXwAyACkAOwBnADEAXwBuAGEAbQBlAHMAOwBJAE4ARABFAFgAKABnAHIAbwB1AHAAXwBuAGEAbQBlAHMAOwBnADEAXwBpAGQAKQA7AGcAMgBfAG4AYQBtAGUAcwA7AEkATgBEAEUAWAAoAGcAcgBvAHUAcABfAG4AYQBtAGUAcwA7AGcAMgBfAGkAZAApADsAcABfAHYAYQBsAHUAZQBzADsAbQBhAHAAKABnADEAXwBuAGEAbQBlAHMAOwBnADIAXwBuAGEAbQBlAHMAOwBMAEEATQBCAEQAQQAoAGEAXwB2ADsAYgBfAHYAOwBGAC4AVABFAFMAVAAoAGYAaQBsAHQAZQByACgAdgBhAGwAdQBlAHMAOwBnAHIAbwB1AHAAcwA9AGEAXwB2ACkAOwBmAGkAbAB0AGUAcgAoAHYAYQBsAHUAZQBzADsAZwByAG8AdQBwAHMAPQBiAF8AdgApACkAKQApADsAcABfAHYAYQBsAHUAZQBfAHIAYQB3ADsAdwBlAG4AbgAoAHAAXwB2AGEAbAB1AGUAcwA+ADAALgA1ADsAMQAtAHAAXwB2AGEAbAB1AGUAcwA7AHAAXwB2AGEAbAB1AGUAcwApADsAcABfAHMAdABhAHIAOwAyACoAVwBFAE4ATgBTACgAVwBVAFIARABFAEEAVQBTAEcARQBMAEEAUwBTAEUATgAoAGEAZABqAHUAcwB0AG0AZQBuAHQAKQA7AFAALgBBAEQASgAuAEIATwBOAEYARQBSAFIATwBOAEkAKABwAF8AdgBhAGwAdQBlAF8AcgBhAHcAOwBrAF8AYQBsAGwAKQA7AEsATABFAEkATgAoAGEAZABqAHUAcwB0AG0AZQBuAHQAKQA9AFwAIgBoAG8AbABtAFwAIgA7AFAALgBBAEQASgAuAEgATwBMAE0AKABwAF8AdgBhAGwAdQBlAF8AcgBhAHcAOwBrAF8AYQBsAGwAKQA7AEsATABFAEkATgAoAGEAZABqAHUAcwB0AG0AZQBuAHQAKQA9AFwAIgBiAG8AbgBmAGUAcgByAG8AbgBpAFwAIgA7AFAALgBBAEQASgAuAEIATwBOAEYARQBSAFIATwBOAEkAKABwAF8AdgBhAGwAdQBlAF8AcgBhAHcAOwBrAF8AYQBsAGwAKQA7AEsATABFAEkATgAoAGEAZABqAHUAcwB0AG0AZQBuAHQAKQA9AFwAIgBoAG8AYwBoAGIAZQByAGcAXAAiADsAUAAuAEEARABKAC4ASABPAEMASABCAEUAUgBHACgAcABfAHYAYQBsAHUAZQBfAHIAYQB3ADsAawBfAGEAbABsACkAOwBLAEwARQBJAE4AKABhAGQAagB1AHMAdABtAGUAbgB0ACkAPQBcACIAcwBpAGQAYQBrAFwAIgA7AFAALgBBAEQASgAuAFMASQBEAEEASwAoAHAAXwB2AGEAbAB1AGUAXwByAGEAdwA7AGsAXwBhAGwAbAApADsASwBMAEUASQBOACgAYQBkAGoAdQBzAHQAbQBlAG4AdAApAD0AXAAiAGgAbwBsAG0AcwBpAGQAYQBrAFwAIgA7AFAALgBBAEQASgAuAEgATwBMAE0AXwBTAEkARABBAEsAKABwAF8AdgBhAGwAdQBlAF8AcgBhAHcAOwBrAF8AYQBsAGwAKQA7AEsATABFAEkATgAoAGEAZABqAHUAcwB0AG0AZQBuAHQAKQA9AFwAIgBoAG8AbABtAC0AcwBpAGQAYQBrAFwAIgA7AFAALgBBAEQASgAuAEgATwBMAE0AXwBTAEkARABBAEsAKABwAF8AdgBhAGwAdQBlAF8AcgBhAHcAOwBrAF8AYQBsAGwAKQA7AEsATABFAEkATgAoAGEAZABqAHUAcwB0AG0AZQBuAHQAKQA9AFwAIgBoAG8AbABtAF8AcwBpAGQAYQBrAFwAIgA7AFAALgBBAEQASgAuAEgATwBMAE0AXwBTAEkARABBAEsAKABwAF8AdgBhAGwAdQBlAF8AcgBhAHcAOwBrAF8AYQBsAGwAKQA7AFcAQQBIAFIAOwBwAF8AdgBhAGwAdQBlAF8AcgBhAHcAKQA7AGgAcwB0AGEAcABlAGwAbgAoAGcAMQBfAG4AYQBtAGUAcwA7AGcAMgBfAG4AYQBtAGUAcwA7AHcAZQBuAG4AKABwAF8AcwB0AGEAcgA+ADEAOwAxADsAcABfAHMAdABhAHIAKQApACkAKQA7ADsAXABuAFAAQQBJAFIAVwBJAFMARQAuAFQALgBUAEUAUwBUAD0ATABBAE0AQgBEAEEAKAB2AGEAbAB1AGUAcwA7AGcAcgBvAHUAcABzADsAWwBhAGQAagB1AHMAdABtAGUAbgB0AF0AOwBMAEUAVAAoAG4AXwBhAGwAbAA7AEEATgBaAEEASABMACgAdgBhAGwAdQBlAHMAKQA7AGcAcgBvAHUAcABfAG4AYQBtAGUAcwA7AEUASQBOAEQARQBVAFQASQBHACgAZwByAG8AdQBwAHMAKQA7AGsAXwBhAGwAbAA7AEEATgBaAEEASABMADIAKABnAHIAbwB1AHAAXwBuAGEAbQBlAHMAKQA7AG0AXwB0AHIAaQBhAG4AZwA7AE0AVABSAEkAQQBOAEcATABFACgAawBfAGEAbABsADsAOwAxACkAOwBnAHIAbwB1AHAAXwBpAGQAOwBTAEUAUQBVAEUATgBaACgAawBfAGEAbABsACkAOwBnAHIAcABfADEAOwBaAFUAUwBQAEEATABUAEUAKABtAF8AdAByAGkAYQBuAGcAKgBnAHIAbwB1AHAAXwBpAGQAKQA7AGcAcgBwAF8AMgA7AFoAVQBTAFAAQQBMAFQARQAoAG0AXwB0AHIAaQBhAG4AZwAqAE0AVABSAEEATgBTACgAZwByAG8AdQBwAF8AaQBkACkAKQA7AGcAMQBfAGkAZAA7AGYAaQBsAHQAZQByACgAZwByAHAAXwAxADsAZwByAHAAXwAxACkAOwBnADIAXwBpAGQAOwBmAGkAbAB0AGUAcgAoAGcAcgBwAF8AMgA7AGcAcgBwAF8AMgApADsAZwAxAF8AbgBhAG0AZQBzADsASQBOAEQARQBYACgAZwByAG8AdQBwAF8AbgBhAG0AZQBzADsAZwAxAF8AaQBkACkAOwBnADIAXwBuAGEAbQBlAHMAOwBJAE4ARABFAFgAKABnAHIAbwB1AHAAXwBuAGEAbQBlAHMAOwBnADIAXwBpAGQAKQA7AHAAXwB2AGEAbAB1AGUAcwA7AG0AYQBwACgAZwAxAF8AbgBhAG0AZQBzADsAZwAyAF8AbgBhAG0AZQBzADsATABBAE0AQgBEAEEAKABhAF8AdgA7AGIAXwB2ADsAVAAuAFQARQBTAFQAKABmAGkAbAB0AGUAcgAoAHYAYQBsAHUAZQBzADsAZwByAG8AdQBwAHMAPQBhAF8AdgApADsAZgBpAGwAdABlAHIAKAB2AGEAbAB1AGUAcwA7AGcAcgBvAHUAcABzAD0AYgBfAHYAKQA7ADIAOwAzACkAKQApADsAcABfAHYAYQBsAHUAZQBfAHIAYQB3ADsAdwBlAG4AbgAoAHAAXwB2AGEAbAB1AGUAcwA+ADAALgA1ADsAMQAtAHAAXwB2AGEAbAB1AGUAcwA7AHAAXwB2AGEAbAB1AGUAcwApADsAcABfAHMAdABhAHIAOwAyACoAVwBFAE4ATgBTACgAVwBVAFIARABFAEEAVQBTAEcARQBMAEEAUwBTAEUATgAoAGEAZABqAHUAcwB0AG0AZQBuAHQAKQA7AFAALgBBAEQASgAuAEIATwBOAEYARQBSAFIATwBOAEkAKABwAF8AdgBhAGwAdQBlAF8AcgBhAHcAOwBrAF8AYQBsAGwAKQA7AEsATABFAEkATgAoAGEAZABqAHUAcwB0AG0AZQBuAHQAKQA9AFwAIgBoAG8AbABtAFwAIgA7AFAALgBBAEQASgAuAEgATwBMAE0AKABwAF8AdgBhAGwAdQBlAF8AcgBhAHcAOwBrAF8AYQBsAGwAKQA7AEsATABFAEkATgAoAGEAZABqAHUAcwB0AG0AZQBuAHQAKQA9AFwAIgBiAG8AbgBmAGUAcgByAG8AbgBpAFwAIgA7AFAALgBBAEQASgAuAEIATwBOAEYARQBSAFIATwBOAEkAKABwAF8AdgBhAGwAdQBlAF8AcgBhAHcAOwBrAF8AYQBsAGwAKQA7AEsATABFAEkATgAoAGEAZABqAHUAcwB0AG0AZQBuAHQAKQA9AFwAIgBoAG8AYwBoAGIAZQByAGcAXAAiADsAUAAuAEEARABKAC4ASABPAEMASABCAEUAUgBHACgAcABfAHYAYQBsAHUAZQBfAHIAYQB3ADsAawBfAGEAbABsACkAOwBLAEwARQBJAE4AKABhAGQAagB1AHMAdABtAGUAbgB0ACkAPQBcACIAcwBpAGQAYQBrAFwAIgA7AFAALgBBAEQASgAuAFMASQBEAEEASwAoAHAAXwB2AGEAbAB1AGUAXwByAGEAdwA7AGsAXwBhAGwAbAApADsASwBMAEUASQBOACgAYQBkAGoAdQBzAHQAbQBlAG4AdAApAD0AXAAiAGgAbwBsAG0AcwBpAGQAYQBrAFwAIgA7AFAALgBBAEQASgAuAEgATwBMAE0AXwBTAEkARABBAEsAKABwAF8AdgBhAGwAdQBlAF8AcgBhAHcAOwBrAF8AYQBsAGwAKQA7AEsATABFAEkATgAoAGEAZABqAHUAcwB0AG0AZQBuAHQAKQA9AFwAIgBoAG8AbABtAC0AcwBpAGQAYQBrAFwAIgA7AFAALgBBAEQASgAuAEgATwBMAE0AXwBTAEkARABBAEsAKABwAF8AdgBhAGwAdQBlAF8AcgBhAHcAOwBrAF8AYQBsAGwAKQA7AEsATABFAEkATgAoAGEAZABqAHUAcwB0AG0AZQBuAHQAKQA9AFwAIgBoAG8AbABtAF8AcwBpAGQAYQBrAFwAIgA7AFAALgBBAEQASgAuAEgATwBMAE0AXwBTAEkARABBAEsAKABwAF8AdgBhAGwAdQBlAF8AcgBhAHcAOwBrAF8AYQBsAGwAKQA7AFcAQQBIAFIAOwBwAF8AdgBhAGwAdQBlAF8AcgBhAHcAKQA7AGgAcwB0AGEAcABlAGwAbgAoAGcAMQBfAG4AYQBtAGUAcwA7AGcAMgBfAG4AYQBtAGUAcwA7AHcAZQBuAG4AKABwAF8AcwB0AGEAcgA+ADEAOwAxADsAcABfAHMAdABhAHIAKQApACkAKQA7ADsAXABuAFAATwBMAFkAVgBBAEwALgAyAFAAPQBMAEEATQBCAEQAQQAoAGMAbwBlAGYAZgA7AHgAXwB2AGEAbAB1AGUAOwBMAEUAVAAoAG4AXwB2ADsAQQBOAFoAQQBIAEwAKABjAG8AZQBmAGYAKQA7AGUAXwB2ADsAUwBFAFEAVQBFAE4AWgAoAG4AXwB2ADsAMQA7AG4AXwB2AC0AMQA7AC0AMQApADsAUwBVAE0ATQBFAE4AUABSAE8ARABVAEsAVAAoAGMAbwBlAGYAZgA7AHgAXwB2AGEAbAB1AGUAXgBlAF8AdgApACkAKQA7ADsAQwBBAEwAQwAuAFAAVgAuAFMASABBAFAASQBSAE8APQBMAEEATQBCAEQAQQAoAHcAXwB2ADsAbgBfAHYAOwBXAEUATgBOAFMAKABuAF8AdgA9ADMAOwA2AC8AUABJACgAKQAqACgAQQBSAEMAUwBJAE4AKABXAFUAUgBaAEUATAAoAHcAXwB2ACkAKQAtAEEAUgBDAFMASQBOACgAVwBVAFIAWgBFAEwAKAAuADcANQApACkAKQA7AG4AXwB2ADwAPQAxADEAOwBDAEEATABDAC4AUABWAC4ARwBBAE0ATQBBAC4AUwBIAEEAUABJAFIATwAoAHcAXwB2ADsAbgBfAHYAKQA7AFcAQQBIAFIAOwBDAEEATABDAC4AUABWAC4ARABJAFIALgBTAEgAQQBQAEkAUgBPACgAdwBfAHYAOwBuAF8AdgApACkAKQA7ADsAQwBBAEwAQwAuAFAAVgAuAEcAQQBNAE0AQQAuAFMASABBAFAASQBSAE8APQBMAEEATQBCAEQAQQAoAHcAXwB2ADsAbgBfAHYAOwBMAEUAVAAoAHkAXwAxADsAbABvAGcAKAAxAC0AdwBfAHYAKQA7AHgAXwB4ADsAbABvAGcAKABuAF8AdgApADsAYwBfAGcAOwB7AC4ANAA1ADkAOwAtADIALgAyADcAMwB9ADsAYwBfADMAOwB7AC0ANgAuADcAMQA0AGUALQA0ADsALgAwADIANQAwADUANAA7AC0ALgAzADkAOQA3ADgAOwAuADUANAA0AH0AOwBjAF8ANAA7AHsALQAuADAAMAAyADAAMwAyADIAOwAuADAANgAyADcANgA3ADsALQAuADcANwA4ADUANwA7ADEALgAzADgAMgAyAH0AOwBnAGEAbQBtAGEAOwBQAE8ATABZAFYAQQBMAC4AMgBQACgAYwBfAGcAOwBuAF8AdgApADsAbQBfAHcAOwBQAE8ATABZAFYAQQBMAC4AMgBQACgAYwBfADMAOwBuAF8AdgApADsAcwBfAHcAOwBFAFgAUAAoAFAATwBMAFkAVgBBAEwALgAyAFAAKABjAF8ANAA7AG4AXwB2ACkAKQA7AHkAXwB2ADsALQAxACoAbABvAGcAKABnAGEAbQBtAGEALQB5AF8AMQApADsAVwBFAE4ATgAoAHkAXwAxAD4APQBnAGEAbQBtAGEAOwAxAEUALQA5ADkAOwBOAE8AUgBNAC4ASQBOAFYAKAB5AF8AdgA7AG0AXwB3ADsAcwBfAHcAKQApACkAKQA7ADsAQwBBAEwAQwAuAFAAVgAuAEQASQBSAC4AUwBIAEEAUABJAFIATwA9AEwAQQBNAEIARABBACgAdwBfAHYAOwBuAF8AdgA7AEwARQBUACgAeQBfAHYAOwBsAG8AZwAoADEALQB3AF8AdgApADsAeABfAHgAOwBsAG8AZwAoAG4AXwB2ACkAOwBjAF8ANQA7AHsALgAwADAAMwA4ADkAMQA1ADsALQAuADAAOAAzADcANQAxADsALQAuADMAMQAwADgAMgA7AC0AMQAuADUAOAA2ADEAfQA7AGMAXwA2ADsAewAuADAAMAAzADAAMwAwADIAOwAtAC4AMAA4ADIANgA3ADYAOwAtAC4ANAA4ADAAMwB9ADsAbQBfAHcAOwBQAE8ATABZAFYAQQBMAC4AMgBQACgAYwBfADUAOwBuAF8AdgApADsAcwBfAHcAOwBFAFgAUAAoAFAATwBMAFkAVgBBAEwALgAyAFAAKABjAF8ANgA7AG4AXwB2ACkAKQA7AE4ATwBSAE0ALgBJAE4AVgAoAHkAXwB2ADsAbQBfAHcAOwBzAF8AdwApACkAKQA7ADsAUwBIAEEAUABJAFIATwAuAFcASQBMAEsALgBUAEUAUwBUAD0ATABBAE0AQgBEAEEAKABWAGEAbAB1AGUAcwA7AFsAdwBpAHQAaABfAGgAZQBhAGQAZQByAHMAXQA7AEwARQBUACgAdwBpAHQAaABfAGgAZQBhAGQAZQByAHMAOwBXAEUATgBOACgAVwBVAFIARABFAEEAVQBTAEcARQBMAEEAUwBTAEUATgAoAHcAaQB0AGgAXwBoAGUAYQBkAGUAcgBzACkAOwBXAEEASABSADsAdwBpAHQAaABfAGgAZQBhAGQAZQByAHMAKQA7AFYAYQBsAHUAZQBzADsAUwBPAFIAVABJAEUAUgBFAE4AKABWAGEAbAB1AGUAcwApADsAbQBfAHcAOwBNAEkAVABUAEUATABXAEUAUgBUACgAVgBhAGwAdQBlAHMAKQA7AG0AXwBzADsAUwBUAEEAQgBXAC4AUwAoAFYAYQBsAHUAZQBzACkAOwBuAF8AdgBhAGwAdQBlAHMAOwBBAE4AWgBBAEgATAAoAFYAYQBsAHUAZQBzACkAOwBtAF8AdgBhAGwAdQBlAHMAOwBOAE8AUgBNAC4AUwAuAEkATgBWACgAKABTAEUAUQBVAEUATgBaACgAbgBfAHYAYQBsAHUAZQBzACkALQAwAC4AMwA3ADUAKQAvACgAbgBfAHYAYQBsAHUAZQBzACsAMAAuADIANQApACkAOwB1AF8AdgBhAGwAdQBlADsAMQAvAFcAVQBSAFoARQBMACgAbgBfAHYAYQBsAHUAZQBzACkAOwBtAF8AbgA7AFoARQBJAEwARQBOAFcAQQBIAEwAKABtAF8AdgBhAGwAdQBlAHMAOwBuAF8AdgBhAGwAdQBlAHMAKQA7AG0AXwBuAF8AMQA7AFoARQBJAEwARQBOAFcAQQBIAEwAKABtAF8AdgBhAGwAdQBlAHMAOwBuAF8AdgBhAGwAdQBlAHMALQAxACkAOwBwAF8AMQA7AFYAUwBUAEEAUABFAEwATgAoAC0AMgAuADcAMAA2ADAANQA2ADsANAAuADQAMwA0ADYAOAA1ADsALQAyAC4AMAA3ADEAMQA5ADAAOwAtADAALgAxADQANwA5ADgAMQA7ADAALgAyADIAMQAxADUANwA7AG0AXwBuAC8AVwBVAFIAWgBFAEwAKABTAFUATQBNAEUAKABtAF8AdgBhAGwAdQBlAHMAXgAyACkAKQApADsAcABfADIAOwBWAFMAVABBAFAARQBMAE4AKAAtADMALgA1ADgAMgA2ADMAMwA7ADUALgA2ADgAMgA2ADMAMwA7AC0AMQAuADcANQAyADQANgAxADsALQAwAC4AMgA5ADMANwA2ADIAOwAwAC4AMAA0ADIAOQA4ADEAOwBtAF8AbgBfADEALwBXAFUAUgBaAEUATAAoAFMAVQBNAE0ARQAoAG0AXwB2AGEAbAB1AGUAcwBeADIAKQApACkAOwB3AF8AbgA7AFAATwBMAFkAVgBBAEwALgAyAFAAKABwAF8AMQA7AHUAXwB2AGEAbAB1AGUAKQA7AHcAXwAxADsALQAxACoAdwBfAG4AOwB3AF8AbgBfADEAOwBQAE8ATABZAFYAQQBMAC4AMgBQACgAcABfADIAOwB1AF8AdgBhAGwAdQBlACkAOwB3AF8AMgA7AC0AMQAqAHcAXwBuAF8AMQA7AEMAXwBUADsAdwBlAG4AbgAoAG4AXwB2AGEAbAB1AGUAcwA+AD0ANgA7ADIAOwAxACkAOwB3AF8AcwBlAHEAOwBTAEUAUQBVAEUATgBaACgAbgBfAHYAYQBsAHUAZQBzAC0AMgAqAEMAXwBUADsAMQA7AEMAXwBUACsAMQApADsAcABoAGkAXwB2ADsAVwBFAE4ATgAoAG4AXwB2AGEAbAB1AGUAcwA+AD0ANgA7ACgATQBNAFUATABUACgATQBUAFIAQQBOAFMAKABtAF8AdgBhAGwAdQBlAHMAKQA7AG0AXwB2AGEAbAB1AGUAcwApAC0AMgAqAG0AXwBuAF4AMgAtADIAKgBtAF8AbgBfADEAXgAyACkALwAoADEALQAyACoAdwBfAG4AXgAyAC0AMgAqAHcAXwBuAF8AMQBeADIAKQA7ACgATQBNAFUATABUACgATQBUAFIAQQBOAFMAKABtAF8AdgBhAGwAdQBlAHMAKQA7AG0AXwB2AGEAbAB1AGUAcwApAC0AMgAqAG0AXwBuAF4AMgApAC8AKAAxAC0AMgAqAHcAXwBuAF4AMgApACkAOwB3AF8AdgBhAGwAdQBlAHMAOwBaAEUASQBMAEUATgBXAEEASABMACgAbQBfAHYAYQBsAHUAZQBzADsAdwBfAHMAZQBxACkALwBXAFUAUgBaAEUATAAoAHAAaABpAF8AdgApADsAdwBlAGkAZwBoAHQAcwA7AFcARQBOAE4AKABuAF8AdgBhAGwAdQBlAHMAPQAzADsAVgBTAFQAQQBQAEUATABOACgAMAAuADcAMAA3ADEAMAA2ADcAOAAxADsAMAA7AC0AMAAuADcAMAA3ADEAMAA2ADcAOAAxACkAOwBWAFMAVABBAFAARQBMAE4AKABXAEUATgBOACgAbgBfAHYAYQBsAHUAZQBzAD4APQA2ADsAVgBTAFQAQQBQAEUATABOACgAdwBfADEAOwB3AF8AMgApADsAdwBfADEAKQA7AHcAXwB2AGEAbAB1AGUAcwA7AFcARQBOAE4AKABuAF8AdgBhAGwAdQBlAHMAPgA9ADYAOwBWAFMAVABBAFAARQBMAE4AKAB3AF8AbgBfADEAOwB3AF8AbgApACkAKQApADsAcgBlAHMAaQBkAHUAYQBsAHMAOwBWAGEAbAB1AGUAcwAtAG0AXwB3ADsAdwB3AF8AdgA7AE0ATQBVAEwAVAAoAE0AVABSAEEATgBTACgAdwBlAGkAZwBoAHQAcwApADsAVgBhAGwAdQBlAHMAKQA7AHIAZQBzAF8AdwA7AE0ATQBVAEwAVAAoAE0AVABSAEEATgBTACgAdwB3AF8AdgApADsAdwB3AF8AdgApAC8ATQBNAFUATABUACgAbQB0AHIAYQBuAHMAKAByAGUAcwBpAGQAdQBhAGwAcwApADsAcgBlAHMAaQBkAHUAYQBsAHMAKQA7AEgAUwBUAEEAUABFAEwATgAoAHIAZQBzAF8AdwA7AEMAQQBMAEMALgBQAFYALgBTAEgAQQBQAEkAUgBPACgAcgBlAHMAXwB3ADsAbgBfAHYAYQBsAHUAZQBzACkAOwApACkAKQA7ADsAXABuAFQALgBUAEUAUwBUAC4AUwA9AEwAQQBNAEIARABBACgAcABfAHYAYQBsAHUAZQBzADsAcABfAGcAcgBvAHUAcABzADsAWwBhAGwAdABlAHIAbgBhAHQAaQB2AGUAXQA7AFsAcABhAGkAcgBlAGQAXQA7AEwARQBUACgAYQBiAF8AbgBhAG0AZQBzADsARQBJAE4ARABFAFUAVABJAEcAKABwAF8AZwByAG8AdQBwAHMAKQA7AHAAYQBpAHIAZQBkADsAVwBFAE4ATgAoAFcAVQBSAEQARQBBAFUAUwBHAEUATABBAFMAUwBFAE4AKABwAGEAaQByAGUAZAApADsAMwA7AHcAZQBuAG4AKABwAGEAaQByAGUAZAA7ADEAOwAzACkAKQA7AGEAbAB0AGUAcgBuAGEAdABpAHYAZQA7AFcARQBOAE4AKABXAFUAUgBEAEUAQQBVAFMARwBFAEwAQQBTAFMARQBOACgAYQBsAHQAZQByAG4AYQB0AGkAdgBlACkAOwBcACIAdABcACIAOwBQAFIARQBQAC4AQQBMAFQARQBSAE4AQQBUAEkAVgBFACgAYQBsAHQAZQByAG4AYQB0AGkAdgBlACkAKQA7AGEAbAB0AFYAOwAxACsAKABhAGwAdABlAHIAbgBhAHQAaQB2AGUAPQBcACIAdABcACIAKQA7AGEAbAB0AE8AOwBhAGwAdABlAHIAbgBhAHQAaQB2AGUAPQBcACIAZwBcACIAOwBnAF8AMQA7AFoARQBJAEwARQBOAFcAQQBIAEwAKABhAGIAXwBuAGEAbQBlAHMAOwAxACkAOwBnAF8AMgA7AFoARQBJAEwARQBOAFcAQQBIAEwAKABhAGIAXwBuAGEAbQBlAHMAOwAyACkAOwBwAF8AdgA7AFcARQBOAE4AKABBAE4AWgBBAEgATAAyACgAYQBiAF8AbgBhAG0AZQBzACkAPQAyADsAVAAuAFQARQBTAFQAKABGAEkATABUAEUAUgAoAHAAXwB2AGEAbAB1AGUAcwA7AHAAXwBnAHIAbwB1AHAAcwA9AGcAXwAxACkAOwBGAEkATABUAEUAUgAoAHAAXwB2AGEAbAB1AGUAcwA7AHAAXwBnAHIAbwB1AHAAcwA9AGcAXwAyACkAOwBhAGwAdABWADsAcABhAGkAcgBlAGQAKQA7ACMAVwBFAFIAVAAhACkAOwBtAHcAXwAxADsATQBJAFQAVABFAEwAVwBFAFIAVAAoAEYASQBMAFQARQBSACgAcABfAHYAYQBsAHUAZQBzADsAcABfAGcAcgBvAHUAcABzAD0AZwBfADEAKQApADsAbQB3AF8AMgA7AE0ASQBUAFQARQBMAFcARQBSAFQAKABGAEkATABUAEUAUgAoAHAAXwB2AGEAbAB1AGUAcwA7AHAAXwBnAHIAbwB1AHAAcwA9AGcAXwAyACkAKQA7AEgAUwBUAEEAUABFAEwATgAoAFcARQBOAE4AKABPAEQARQBSACgAVQBOAEQAKABhAGwAdABPADsAbQB3AF8AMQA8AG0AdwBfADIAKQA7AFUATgBEACgAYQBsAHQAZQByAG4AYQB0AGkAdgBlAD0AXAAiAGwAXAAiADsAbQB3AF8AMQA+AG0AdwBfADIAKQApADsAMQAtAHAAXwB2ADsAcABfAHYAKQA7AFQARQBYAFQAVgBFAFIASwBFAFQAVABFAE4AKABlAHIAcwB0AGUAcgB3AGUAcgB0ACgAYQBsAHQAZQByAG4AYQB0AGkAdgBlADsAXAAiAHQAXAAiADsAXAAiADwAPgBcACIAOwBcACIAbABcACIAOwBcACIAPABcACIAOwBcACIAZwBcACIAOwBcACIAPgBcACIAKQA7ADsAYQBiAF8AbgBhAG0AZQBzACkAKQApACkAOwA7AFwAbgBXAEkATABDAE8AWABPAE4ALgBUAEUAUwBUAD0ATABBAE0AQgBEAEEAKABwAF8AdgBhAGwAdQBlAHMAOwBwAF8AZwByAG8AdQBwAHMAOwBbAGEAbAB0AGUAcgBuAGEAdABpAHYAZQBdADsAWwBwAGEAaQByAGUAZABdADsAWwBjAG8AcgByAGUAYwB0AF0AOwBMAEUAVAAoAGEAbAB0AGUAcgBuAGEAdABpAHYAZQA7AHcAZQBuAG4AKABXAFUAUgBEAEUAQQBVAFMARwBFAEwAQQBTAFMARQBOACgAYQBsAHQAZQByAG4AYQB0AGkAdgBlACkAOwBcACIAdABcACIAOwBQAFIARQBQAC4AQQBMAFQARQBSAE4AQQBUAEkAVgBFACgAYQBsAHQAZQByAG4AYQB0AGkAdgBlACkAKQA7AGMAbwByAHIAZQBjAHQAOwB3AGUAbgBuACgAVwBVAFIARABFAEEAVQBTAEcARQBMAEEAUwBTAEUATgAoAGMAbwByAHIAZQBjAHQAKQA7AFcAQQBIAFIAOwBjAG8AcgByAGUAYwB0ACkAOwBwAGEAaQByAGUAZAA7AFcARQBOAE4AKABXAFUAUgBEAEUAQQBVAFMARwBFAEwAQQBTAFMARQBOACgAcABhAGkAcgBlAGQAKQA7AEYAQQBMAFMAQwBIADsAcABhAGkAcgBlAGQAKQA7AGEAYgBfAG4AYQBtAGUAcwA7AEUASQBOAEQARQBVAFQASQBHACgAcABfAGcAcgBvAHUAcABzACkAOwBhAGIAXwBuADsAQQBOAFoAQQBIAEwAMgAoAGEAYgBfAG4AYQBtAGUAcwApADsAbgBfAGEAYgA7AEcAUgBPAFUAUAAuAEMATwBVAE4AVAAoAHAAXwBnAHIAbwB1AHAAcwApADsAdwBlAG4AbgAoAFUATgBEACgAYQBiAF8AbgA9ADIAOwBuAF8AYQBiAD4AMQA7AE8ARABFAFIAKABOAEkAQwBIAFQAKABwAGEAaQByAGUAZAApADsASQBTAC4AQQBMAEwALgBFAFEAVQBBAEwAKABuAF8AYQBiACkAKQApADsATABFAFQAKAByAGEAbgBrADsAUgBBAE4ARwAuAE0ASQBUAFQARQBMAFcAKABwAF8AdgBhAGwAdQBlAHMAOwBwAF8AdgBhAGwAdQBlAHMAKQA7AFMAVABBAFQASQBTAFQASQBDADsATQBJAE4AKABHAFIATwBVAFAALgBTAFUATQAoAHIAYQBuAGsAOwBwAF8AZwByAG8AdQBwAHMAKQAtAG4AXwBhAGIAKgAoAG4AXwBhAGIAKwAxACkALwAyACkAOwBwAHIAbwBkAF8AYQBiADsAUABSAE8ARABVAEsAVAAoAG4AXwBhAGIAKQA7AHMAdQBtAF8AYQBiADsAUwBVAE0ATQBFACgAbgBfAGEAYgApADsAegBfAHYAYQBsAHUAZQA7AFMAVABBAFQASQBTAFQASQBDAC0AcAByAG8AZABfAGEAYgAvADIAOwBjAG8AcgByAGUAYwB0AFQAaQBlAHMAOwAoAEEATgBaAEEASABMACgARQBJAE4ARABFAFUAVABJAEcAKAByAGEAbgBrACkAKQA8AEEATgBaAEEASABMACgAcgBhAG4AawApACkAKgBMAEUAVAAoAE4AVABJAEUAUwA7AFMAVABBAFQALgBUAEEAQgBMAEUAKAByAGEAbgBrACkAOwBTAFUATQBNAEUAKABOAFQASQBFAFMAXgAzAC0ATgBUAEkARQBTACkALwAoAHMAdQBtAF8AYQBiACoAKABzAHUAbQBfAGEAYgAtADEAKQApACkAOwBTAEkARwBNAEEAOwBXAFUAUgBaAEUATAAoACgAcAByAG8AZABfAGEAYgAqACgAKABzAHUAbQBfAGEAYgArADEAKQAtAGMAbwByAHIAZQBjAHQAVABpAGUAcwApACkALwAxADIAKQA7AGMAbwByAHIAZQBjAHQAaQBvAG4AXwB2AGEAbAB1AGUAOwBjAG8AcgByAGUAYwB0ACoARQBSAFMAVABFAFIAVwBFAFIAVAAoAGEAbAB0AGUAcgBuAGEAdABpAHYAZQA7AFwAIgB0AFwAIgA7AFMAVABBAFQALgBTAEkARwBOACgAegBfAHYAYQBsAHUAZQApACoAMAAuADUAOwBcACIAbABcACIAOwAtADAALgA1ADsAXAAiAGcAXAAiADsAMAAuADUAOwApADsAWgBWAEEATAA7ACgAegBfAHYAYQBsAHUAZQAtAGMAbwByAHIAZQBjAHQAaQBvAG4AXwB2AGEAbAB1AGUAKQAvAFMASQBHAE0AQQA7AFAAVgBBAEwAOwBTAFQAQQBUAC4AQwBPAFIAUgBFAEMAVAAuAFAAVgBBAEwAVQBFACgATgBPAFIATQAuAFYARQBSAFQAKABaAFYAQQBMADsAMAA7ADEAOwBXAEEASABSACkAKQA7AFYAUwBUAEEAUABFAEwATgAoAEgAUwBUAEEAUABFAEwATgAoAFwAIgBTAHQAYQB0AGkAcwB0AGkAawBcACIAOwBcACIAWgAtAFcAZQByAHQAXAAiADsAXAAiAHAALQBXAGUAcgB0AFwAIgA7AFwAIgBBAGwAdABlAHIAbgBhAHQAaQB2AGUAXAAiACkAOwBIAFMAVABBAFAARQBMAE4AKABTAFQAQQBUAEkAUwBUAEkAQwA7AFoAVgBBAEwAOwBQAFYAQQBMADsAVABFAFgAVABWAEUAUgBLAEUAVABUAEUATgAoAGUAcgBzAHQAZQByAHcAZQByAHQAKABhAGwAdABlAHIAbgBhAHQAaQB2AGUAOwBcACIAdABcACIAOwBcACIAPAA+AFwAIgA7AFwAIgBsAFwAIgA7AFwAIgA8AFwAIgA7AFwAIgBnAFwAIgA7AFwAIgA+AFwAIgApADsAOwBhAGIAXwBuAGEAbQBlAHMAKQApACkAKQA7ACMAVwBFAFIAVAAhACkAKQApADsAOwBcAG4AVgBMAEUATgBHAFQASAA9AEwAQQBNAEIARABBACgAdgBlAGMAdABvAHIAOwBMAEUAVAAoAGMAbwBsAHMAOwBTAFAAQQBMAFQARQBOACgAdgBlAGMAdABvAHIAKQA7AGwAZQBuAGcAdABoADsASQBTAC4AVgBFAEMAVABPAFIAKAB2AGUAYwB0AG8AcgApACoAKABjAG8AbABzACoAKABjAG8AbABzADwAPgAxACkAKwBaAEUASQBMAEUATgAoAHYAZQBjAHQAbwByACkAKgAoAGMAbwBsAHMAPQAxACkAKQA7AHcAZQBuAG4AKABsAGUAbgBnAHQAaAA7AGwAZQBuAGcAdABoADsAIwBXAEUAUgBUACEAKQApACkAOwA7AFwAbgBWAFIARQBQAEUAQQBUAD0ATABBAE0AQgBEAEEAKAB2AGEAbAB1AGUAOwBuAF8AdABpAG0AZQBzADsAVwBFAE4ATgAoAFUATgBEACgAQQBOAFoAQQBIAEwAMgAoAHYAYQBsAHUAZQApAD0AMQA7AEEATgBaAEEASABMACgAbgBfAHQAaQBtAGUAcwApAD0AMQA7AG4AXwB0AGkAbQBlAHMAPgAwACkAOwBXAEUATgBOACgASQBTAFQAWgBBAEgATAAoAHYAYQBsAHUAZQApACsASQBTAFQATABPAEcAKAB2AGEAbAB1AGUAKQA7AFMARQBRAFUARQBOAFoAKABuAF8AdABpAG0AZQBzADsAMQA7AHYAYQBsAHUAZQA7ADAAKQA7AFcARQBOAE4AKABTAEUAUQBVAEUATgBaACgAbgBfAHQAaQBtAGUAcwApADsAdgBhAGwAdQBlACkAKQA7ACMAVwBFAFIAVAAhACkAKQA7ADsAXABuAFMAVABBAFQALgBEAEUAUwBLAFIASQBQAFQASQBWAD0AUwBUAEEAVAAuAEQARQBTAEMAUgBJAEIARQA7ADsAUwBUAEEAVAAuAEQARQBTAEsAUgBJAFAAVABJAFYALgBNAEUAUgBLAE0AQQBMAEUAPQBTAFQAQQBUAC4ARABFAFMAQwBSAEkAQgBFAC4ATgBPAE0ASQBOAEEATAA7ADsAUwBUAEEAVAAuAEQARQBTAEsAUgBJAFAAVABJAFYALgBGAEEASwBUAE8AUgBTAFQAVQBGAEUATgA9AFMAVABBAFQALgBEAEUAUwBDAFIASQBCAEUALgBOAE8ATQBJAE4AQQBMADsAOwBTAFQAQQBUAC4ARABFAFMASwBSAEkAUABUAEkAVgAuAE4ATwBNAEkATgBBAEwAPQBTAFQAQQBUAC4ARABFAFMAQwBSAEkAQgBFAC4ATgBPAE0ASQBOAEEATAA7ADsAUwBUAEEAVAAuAEQARQBTAEsAUgBJAFAAVABJAFYALgBCAEUAUwBDAEgAUgBJAEYAVABVAE4ARwA9AFMAVABBAFQALgBEAEUAUwBDAFIASQBCAEUALgBMAEEAQgBFAEwAUwA7ADsAUwBUAEEAVAAuAFQAQQBCAEUATABMAEUAPQBTAFQAQQBUAC4AVABBAEIATABFADsAOwBTAFQAQQBUAC4AVABBAEIARQBMAEwARQAuAFIARQBMAEEAVABJAFYAPQBTAFQAQQBUAC4AVABBAEIATABFAC4AUgBFAEwAQQBUAEkAVgBFADsAOwBTAFQAQQBUAC4ASQBRAEEAPQBTAFQAQQBUAC4ASQBRAFIAOwA7AFMAVABBAFQALgBNAEEAQQBEAD0AUwBUAEEAVAAuAE0AQQBEADsAOwBTAFQAQQBUAC4ARwBFAEIAVQBOAEQARQBOAEUALgBWAEEAUgBJAEEATgBaAD0AUwBUAEEAVAAuAFAATwBPAEwARQBEAC4AVgBBAFIASQBBAE4AQwBFADsAOwBTAFQAQQBUAC4ARwBFAFAATwBPAEwAVABFAC4AVgBBAFIASQBBAE4AWgA9AFMAVABBAFQALgBQAE8ATwBMAEUARAAuAFYAQQBSAEkAQQBOAEMARQA7ADsAUwBUAEEAVAAuAFMAVABBAE4ARABBAFIARABGAEUASABMAEUAUgA9AFMAVABBAFQALgBTAEUAOwA7AFMAVABBAFQALgBTAFQARABGAEUASABMAEUAUgA9AFMAVABBAFQALgBTAEUAOwA7AFMAVABBAFQALgBWAE8AUgBaAEUASQBDAEgARQBOAD0AUwBUAEEAVAAuAFMASQBHAE4AOwA7AEsATwBSAFIARQBMAC4AQwBSAEEATQBFAFIAPQBDAE8AUgBSAC4AQwBSAEEATQBFAFIAOwA7AEsATwBSAFIARQBMAC4AQwBSAEEATQBFAFIALgBUAEUAUwBUAD0AQwBPAFIAUgAuAEMAUgBBAE0ARQBSAC4AVABFAFMAVAA7ADsASwBPAFIAUgBFAEwALgBLAEUATgBEAEEATAA9AEMATwBSAFIALgBLAEUATgBEAEEATAA7ADsASwBPAFIAUgBFAEwALgBLAEUATgBEAEEATAAuAFQARQBTAFQAPQBDAE8AUgBSAC4ASwBFAE4ARABBAEwALgBUAEUAUwBUADsAOwBLAE8AUgBSAEUATAAuAFMAUABFAEEAUgBNAEEATgA9AEMATwBSAFIALgBTAFAARQBBAFIATQBBAE4AOwA7AEsATwBSAFIARQBMAC4AUABFAEEAUgBTAE8ATgA9AEMATwBSAFIALgBQAEUAQQBSAFMATwBOADsAOwBLAE8AUgBSAEUATAAuAFAARQBBAFIAUwBPAE4ALgBUAEUAUwBUAD0AQwBPAFIAUgAuAFAARQBBAFIAUwBPAE4ALgBUAEUAUwBUADsAOwBSAEUARwBSAEUAUwBTAEkATwBOAC4AUgBFAFMASQBEAFUARQBOAD0AUgBFAEcAUgBFAFMAUwBJAE8ATgAuAFIARQBTAEkARABVAEEATABTADsAOwBLAFIAVQBTAEsAQQBMAC4AVwBBAEwATABJAFMALgBUAEUAUwBUAD0ASwBSAFUAUwBLAEEATABfAFcAQQBMAEwASQBTAC4AVABFAFMAVAA7ADsAUABBAEEAUgBXAEUASQBTAEUAUgAuAFQALgBUAEUAUwBUAD0AUABBAEkAUgBXAEkAUwBFAC4AVAAuAFQARQBTAFQAOwA7AFAAQQBBAFIAVwBFAEkAUwBFAFIALgBBAEIALgBUAEUAUwBUAD0AUABBAEkAUgBXAEkAUwBFAC4AVAAuAFQARQBTAFQAOwA7AEEAQgAuAFQARQBTAFQAPQBUAC4AVABFAFMAVAAuAFMAOwA7AFMAUABBAEwAVABFAE4AUwBVAE0ATQBFAD0AQwBPAEwAUwBVAE0AOwA7AFoARQBJAEwARQBOAFMAVQBNAE0ARQA9AFIATwBXAFMAVQBNADsAOwBLAFUATQBVAEwAQQBUAEkAVgBFAFMAVQBNAE0ARQA9AEMAVQBNAFMAVQBNADsAOwBHAFIAVQBQAFAARQBOAC4AUwBVAE0ATQBFAD0ARwBSAE8AVQBQAC4AUwBVAE0AOwA7AEcAUgBVAFAAUABFAE4ALgBBAE4AWgBBAEgATAA9AEcAUgBPAFUAUAAuAEMATwBVAE4AVAA7ADsARwBSAFUAUABQAEUATgAuAE4APQBHAFIATwBVAFAALgBDAE8AVQBOAFQAOwA7AEcAUgBVAFAAUABFAE4ALgBNAEkAVABUAEUATABXAEUAUgBUAD0ARwBSAE8AVQBQAC4ATQBFAEEATgA7ADsARwBSAFUAUABQAEUATgAuAE0ARQBEAEkAQQBOAD0ARwBSAE8AVQBQAC4ATQBFAEQASQBBAE4AOwA7AEcAUgBVAFAAUABFAE4ALgBNAEkATgA9AEcAUgBPAFUAUAAuAE0ASQBOADsAOwBHAFIAVQBQAFAARQBOAC4ATQBBAFgAPQBHAFIATwBVAFAALgBNAEEAWAA7ADsARwBSAFUAUABQAEUATgAuAFMAVABEAEEAQgBXAD0ARwBSAE8AVQBQAC4AUwBEADsAOwBHAFIAVQBQAFAARQBOAC4AUwBEAD0ARwBSAE8AVQBQAC4AUwBEADsAOwBHAFIAVQBQAFAARQBOAC4AUwBFAD0ARwBSAE8AVQBQAC4AUwBFADsAOwBHAFIAVQBQAFAARQBOAC4AUwBUAEEATgBEAEEAUgBEAEYARQBIAEwARQBSAD0ARwBSAE8AVQBQAC4AUwBFADsAOwBHAFIAVQBQAFAARQBOAC4AUwBUAEQARgBFAEgATABFAFIAPQBHAFIATwBVAFAALgBTAEUAOwA7AEcAUgBVAFAAUABFAE4ALgBNAEEARAA9AEcAUgBPAFUAUAAuAE0AQQBEADsAOwBHAFIAVQBQAFAARQBOAC4ASQBRAEEAPQBHAFIATwBVAFAALgBJAFEAUgA7ADsASQBTAFQALgBWAEUASwBUAE8AUgA9AEkAUwAuAFYARQBDAFQATwBSADsAOwBTAEkATgBEAC4AQQBMAEwARQAuAEcATABFAEkAQwBIAD0ASQBTAC4AQQBMAEwALgBFAFEAVQBBAEwAOwA7AEkAUwBUAC4AQQBMAEwARQAuAEcATABFAEkAQwBIAD0ASQBTAC4AQQBMAEwALgBFAFEAVQBBAEwAOwA7AFYARQBLAFQATwBSAC4ATADEAE4ARwBFAD0AVgBMAEUATgBHAFQASAA7ADsATQBEAEkATQBFAE4AUwBJAE8ATgA9AE0ARABJAE0AOwA7AE0AUwBQAFUAUgA9AE0AVABSAEEAQwBFADsAOwBIAFcASQBFAEQARQBSAEgATwBMAEUATgA9AEgAUgBFAFAARQBBAFQAOwA7AFYAVwBJAEUARABFAFIASABPAEwARQBOAD0AVgBSAEUAUABFAEEAVAA7ADsATQBEAFIARQBJAEUAQwBLAD0ATQBUAFIASQBBAE4ARwBMAEUAOwA7AFoAVQBGAEEATABMAFMATQBBAFQAUgBJAFgALgBOAE8AUgBNAEEATAA9AFIAQQBOAEQATwBNAC4ATgBPAFIATQA7ADsAUwBFAFEAVQBFAE4AWgAuAEkATgBUAEUAUgBWAEEATABMAD0AUwBFAFEAVQBFAE4AQwBFAC4AUgBBAE4ARwBFADsAOwBUAEEAQgBFAEwATABFAE4ALgBBAFUAUwBXAEEASABMAD0AVABBAEIATABFAC4AUwBFAEwARQBDAFQAOwA7AFUATgBHANwATABUAEkARwBFAC4ATADWAFMAQwBIAEUATgA9AFIARQBNAE8AVgBFAC4ASQBOAFYAQQBMAEkARAA7ADsARQBOAFQARgBFAFIATgBFAC4ARgBFAEgATABFAFIAPQBSAEUATQBPAFYARQAuAEkATgBWAEEATABJAEQAOwA7AFMAQwBIAE4ARQBMAEwALgBLAE8ARABJAEUAUgBFAE4APQBRAFUASQBDAEsALgBDAE8ARABFADsAOwBPAE4ARQAuAEgATwBUAD0ARABVAE0ATQBZAC4AQwBPAEQASQBOAEcAOwA7AE8ATgBFAC4ASABPAFQALgBDAE8ARABJAE4ARwA9AEQAVQBNAE0AWQAuAEMATwBEAEkATgBHADsAOwBcAG4AXABuAFYAUgBFAFYARQBSAFMARQAgAD0AIABMAEEATQBCAEQAQQAoAFwAbgAgACAAIAAgAHYAZQBrAHQAbwByADsAIABcAG4AIAAgACAAIABMAEUAVAAoAFwAbgAgACAAIAAgACAAIAAgACAAdgBfAGwAZQBuAGcAdABoADsAIABWAEwARQBOAEcAVABIACgAdgBlAGsAdABvAHIAKQA7AFwAbgAgACAAIAAgACAAIAAgACAAdgBfAHAAbwBzADsAIABTAEUAUQBVAEUATgBaACgAdgBfAGwAZQBuAGcAdABoADsAMQA7AHYAXwBsAGUAbgBnAHQAaAA7AC0AMQApADsAXABuACAAIAAgACAAIAAgACAAIABXAEUATgBOACgAXABuACAAIAAgACAAIAAgACAAIAAgACAAIAAgAFMAUABBAEwAVABFAE4AKAB2AGUAawB0AG8AcgApACAAPQAgAHYAXwBsAGUAbgBnAHQAaAA7AFwAbgAgACAAIAAgACAAIAAgACAAIAAgACAAIABTAFAAQQBMAFQARQBOAFcAQQBIAEwAKAB2AGUAawB0AG8AcgA7ACAAdgBfAHAAbwBzACkAOwBcAG4AIAAgACAAIAAgACAAIAAgACAAIAAgACAAWgBFAEkATABFAE4AVwBBAEgATAAoAHYAZQBrAHQAbwByADsAIAB2AF8AcABvAHMAKQBcAG4AIAAgACAAIAAgACAAIAAgACkAXABuACAAIAAgACAAKQBcAG4AKQA7ADsAXABuAFwAbgBWAEUASwBUAE8AUgAuAFUATQBLAEUASABSAEUATgAgAD0AIABWAFIARQBWAEUAUgBTAEUAOwA7AFwAbgBcAG4AUgBFAEcAUgBFAFMAUwBJAE8ATgAuAFMAVABBAFQAUwA9AEwAQQBNAEIARABBACgAXABuACAAIAAgACAAQQBfAFYAQQBSADsAIABVAEEAXwBWAEEAUgA7AFwAbgAgACAAIAAgAEwARQBUACgAXABuACAAIAAgACAAIAAgACAAIABSAF8ASwBPAEUARgA7ACAAUgBHAFAAKABBAF8AVgBBAFIAOwAgAFUAQQBfAFYAQQBSADsAIABXAEEASABSADsAIABXAEEASABSACkAOwBcAG4AIAAgACAAIAAgACAAIAAgAEYAdQBuAGMAXwBrAG8AZQBmADsAIABaAEUASQBMAEUATgBXAEEASABMACgAUgBfAEsATwBFAEYAOwAgADEAKQA7AFwAbgAgACAAIAAgACAAIAAgACAAcwBlAF8AawBvAGUAZgA7ACAAWgBFAEkATABFAE4AVwBBAEgATAAoAFIAXwBLAE8ARQBGADsAIAAyACkAOwBcAG4AIAAgACAAIAAgACAAIAAgAHQAXwBWAGEAbAB1AGUAcwA7ACAARgB1AG4AYwBfAGsAbwBlAGYAIAAvACAAcwBlAF8AawBvAGUAZgA7AFwAbgAgACAAIAAgACAAIAAgACAAZgBfAGQAZgA7ACAAegBlAGkAbABlAG4AdwBhAGgAbAAoAFMAUABBAEwAVABFAE4AVwBBAEgATAAoAFIAXwBLAE8ARQBGADsAMgApADsAIAA0ACkAOwBcAG4AIAAgACAAIAAgACAAIAAgAHAAXwBWAGEAbAB1AGUAcwA7ACAAVAAuAFYARQBSAFQALgAyAFMAKABBAEIAUwAoAHQAXwBWAGEAbAB1AGUAcwApADsAIABmAF8AZABmACkAOwBcAG4AIAAgACAAIAAgACAAIAAgAEgAUwBUAEEAUABFAEwATgAoAFwAbgAgACAAIAAgACAAIAAgACAAIAAgACAAIABWAFMAVABBAFAARQBMAE4AKABcACIASwBvAGUAZgAuAFwAIgA7ACAAXAAiAHMAZQBcACIAOwAgAFwAIgB0AFwAIgA7ACAAXAAiAHAAKAB8AHQAfAApAFwAIgA7ACAAXAAiAHIAMgAvAHIAcwBlAFwAIgA7ACAAXAAiAEYAIABTAHQAYQB0AC4AXAAiADsAIABcACIAUwBTAHIAZQBzAFwAIgApADsAXABuACAAIAAgACAAIAAgACAAIAAgACAAIAAgAFYAUwBUAEEAUABFAEwATgAoAFwAbgAgACAAIAAgACAAIAAgACAAIAAgACAAIAAgACAAIAAgAFYAUgBFAFYARQBSAFMARQAoAEYAdQBuAGMAXwBrAG8AZQBmACkAOwBcAG4AIAAgACAAIAAgACAAIAAgACAAIAAgACAAIAAgACAAIABWAFIARQBWAEUAUgBTAEUAKABzAGUAXwBrAG8AZQBmACkAOwAgAFwAbgAgACAAIAAgACAAIAAgACAAIAAgACAAIAAgACAAIAAgAFYAUgBFAFYARQBSAFMARQAoAHQAXwBWAGEAbAB1AGUAcwApADsAXABuACAAIAAgACAAIAAgACAAIAAgACAAIAAgACAAIAAgACAAVgBSAEUAVgBFAFIAUwBFACgAcABfAFYAYQBsAHUAZQBzACkAOwBcAG4AIAAgACAAIAAgACAAIAAgACAAIAAgACAAIAAgACAAIABaAEUASQBMAEUATgBXAEEASABMACgAUgBfAEsATwBFAEYAOwAgADMAOwAgADQAOwAgADUAKQBcAG4AIAAgACAAIAAgACAAIAAgACAAIAAgACAAKQBcAG4AIAAgACAAIAAgACAAIAAgACkAXABuACAAIAAgACAAKQBcAG4AKQA7ADsAXABuACIAfQBdACwAIgBwAHIAbwBqAGUAYwB0AE4AYQBtAGUAcwAiADoAWwAiAEMATwBMAFMAVQBNACIALAAiAEMATwBSAFIALgBDAFIAQQBNAEUAUgAiACwAIgBDAE8AUgBSAC4AQwBSAEEATQBFAFIALgBUAEUAUwBUACIALAAiAEMATwBSAFIALgBLAEUATgBEAEEATAAiACwAIgBDAE8AUgBSAC4ASwBFAE4ARABBAEwALgBUAEUAUwBUACIALAAiAEMATwBSAFIALgBQAEUAQQBSAFMATwBOACIALAAiAEMATwBSAFIALgBQAEUAQQBSAFMATwBOAC4AVABFAFMAVAAiACwAIgBDAE8AUgBSAC4AUwBQAEUAQQBSAE0AQQBOACIALAAiAEMAVQBNAFMAVQBNACIALAAiAEQAVQBNAE0AWQAuAEMATwBEAEkATgBHACIALAAiAEcAUgBPAFUAUAAuAEMATwBVAE4AVAAiACwAIgBHAFIATwBVAFAALgBMAEEAQgBFAEwAUwAiACwAIgBHAFIATwBVAFAALgBJAFEAUgAiACwAIgBHAFIATwBVAFAALgBNAEEARAAiACwAIgBHAFIATwBVAFAALgBNAEEAWAAiACwAIgBHAFIATwBVAFAALgBNAEUAQQBOACIALAAiAEcAUgBPAFUAUAAuAE0ARQBEAEkAQQBOACIALAAiAEcAUgBPAFUAUAAuAE0ASQBOACIALAAiAEcAUgBPAFUAUAAuAFMARAAiACwAIgBHAFIATwBVAFAALgBTAFUATQAiACwAIgBHAFIATwBVAFAALgBTAEUAIgAsACIASABSAEUAUABFAEEAVAAiACwAIgBJAFMALgBBAEwATAAuAEUAUQBVAEEATAAiACwAIgBJAFMALgBWAEUAQwBUAE8AUgAiACwAIgBNAEEAUgBLAC4ASQBOAFYAQQBMAEkARAAiACwAIgBNAEEAVABSAEkAWABfAFQATwBfAEwATwBOAEcAIgAsACIATQBBAFQAUgBJAFgALgBUAE8ALgBMAE8ATgBHACIALAAiAE0AQQBUAFIASQBYAC4AWgBVAC4ATABBAE4ARwBGAE8AUgBNACIALAAiAE0ARABJAE0AIgAsACIATQBUAFIAQQBDAEUAIgAsACIATQBUAFIASQBBAE4ARwBMAEUAIgAsACIAUABRAC4AUgBFAE4AQQBNAEUALgBIAEUATABQAEUAUgAiACwAIgBQAFIARQBQAC4AQQBMAFQARQBSAE4AQQBUAEkAVgBFACIALAAiAFEAUQAuAEQAQQBUAEEAIgAsACIAUQBVAEkAQwBLAC4AQwBPAEQARQAiACwAIgBSAEEATgBEAE8ATQAuAE4ATwBSAE0AIgAsACIAUgBFAEcAUgBFAFMAUwBJAE8ATgAiACwAIgBSAEUARwBSAEUAUwBTAEkATwBOAC4AUgBFAFMASQBEAFUAQQBMAFMAIgAsACIAUgBFAE0ATwBWAEUALgBJAE4AVgBBAEwASQBEACIALAAiAFIATwBXAFMAVQBNACIALAAiAFMAQwBIAEUATQBBAC4AQwBIAE8ATwBTAEUAIgAsACIAUwBFAFEAVQBFAE4AQwBFAC4AUgBBAE4ARwBFACIALAAiAFMAVABBAFQALgBDAE8AUgBSAEUAQwBUAC4AUABWAEEATABVAEUAIgAsACIAUwBUAEEAVAAuAEQARQBTAEMAUgBJAEIARQAiACwAIgBTAFQAQQBUAC4ARABFAFMAQwBSAEkAQgBFAC4ATABBAEIARQBMAFMAIgAsACIAUwBUAEEAVAAuAEkAUQBSACIALAAiAFMAVABBAFQALgBNAEEARAAiACwAIgBTAFQAQQBUAC4AUABPAE8ATABFAEQALgBWAEEAUgBJAEEATgBDAEUAIgAsACIAUAAuAEEARABKAC4AQgBPAE4ARgBFAFIAUgBPAE4ASQAiACwAIgBQAC4AQQBEAEoALgBIAE8ATABNACIALAAiAFAALgBBAEQASgAuAFMASQBEAEEASwAiACwAIgBQAC4AQQBEAEoALgBIAE8ATABNAF8AUwBJAEQAQQBLACIALAAiAFAALgBBAEQASgAuAEgATwBDAEgAQgBFAFIARwAiACwAIgBTAFQAQQBUAC4AUwBFACIALAAiAFMAVABBAFQALgBTAFQARAAuAEUAUgBSAE8AUgAiACwAIgBTAFQAQQBUAC4AUwBJAEcATgAiACwAIgBTAFQAQQBUAC4AVABBAEIATABFACIALAAiAFMAVABBAFQALgBEAEUAUwBDAFIASQBCAEUALgBOAE8ATQBJAE4AQQBMACIALAAiAFMAVABBAFQALgBUAEEAQgBMAEUALgBSAEUATABBAFQASQBWAEUAIgAsACIAVABBAEIATABFAC4AUwBFAEwARQBDAFQAIgAsACIAQQBOAE8AVgBBAC4AVABFAFMAVAAiACwAIgBDAEgASQBRAFUALgBUAEUAUwBUAC4AUwAiACwAIgBDAEgASQBRAFUALgBUAEUAUwBUADIAIgAsACIAQwBIAEkAUQBVAC4AVABFAFMAVAAyAC4ASABFAEEARABFAFIAIgAsACIAQwBIAEkAUQBVAC4AVABFAFMAVAAuAFgAIgAsACIARABVAE4ATgAuAFQARQBTAFQAIgAsACIARgAuAFQARQBTAFQALgBTACIALAAiAEsAUgBVAFMASwBBAEwAXwBXAEEATABMAEkAUwAuAFQARQBTAFQAIgAsACIATABFAFYARQBOAEUALgBUAEUAUwBUACIALAAiAFAAQQBJAFIAVwBJAFMARQAuAEYALgBUAEUAUwBUACIALAAiAFAAQQBJAFIAVwBJAFMARQAuAFQALgBUAEUAUwBUACIALAAiAFAATwBMAFkAVgBBAEwALgAyAFAAIgAsACIAQwBBAEwAQwAuAFAAVgAuAFMASABBAFAASQBSAE8AIgAsACIAQwBBAEwAQwAuAFAAVgAuAEcAQQBNAE0AQQAuAFMASABBAFAASQBSAE8AIgAsACIAQwBBAEwAQwAuAFAAVgAuAEQASQBSAC4AUwBIAEEAUABJAFIATwAiACwAIgBTAEgAQQBQAEkAUgBPAC4AVwBJAEwASwAuAFQARQBTAFQAIgAsACIAVAAuAFQARQBTAFQALgBTACIALAAiAFcASQBMAEMATwBYAE8ATgAuAFQARQBTAFQAIgAsACIAVgBMAEUATgBHAFQASAAiACwAIgBWAFIARQBQAEUAQQBUACIALAAiAFMAVABBAFQALgBEAEUAUwBLAFIASQBQAFQASQBWACIALAAiAFMAVABBAFQALgBEAEUAUwBLAFIASQBQAFQASQBWAC4ATQBFAFIASwBNAEEATABFACIALAAiAFMAVABBAFQALgBEAEUAUwBLAFIASQBQAFQASQBWAC4ARgBBAEsAVABPAFIAUwBUAFUARgBFAE4AIgAsACIAUwBUAEEAVAAuAEQARQBTAEsAUgBJAFAAVABJAFYALgBOAE8ATQBJAE4AQQBMACIALAAiAFMAVABBAFQALgBEAEUAUwBLAFIASQBQAFQASQBWAC4AQgBFAFMAQwBIAFIASQBGAFQAVQBOAEcAIgAsACIAUwBUAEEAVAAuAFQAQQBCAEUATABMAEUAIgAsACIAUwBUAEEAVAAuAFQAQQBCAEUATABMAEUALgBSAEUATABBAFQASQBWACIALAAiAFMAVABBAFQALgBJAFEAQQAiACwAIgBTAFQAQQBUAC4ATQBBAEEARAAiACwAIgBTAFQAQQBUAC4ARwBFAEIAVQBOAEQARQBOAEUALgBWAEEAUgBJAEEATgBaACIALAAiAFMAVABBAFQALgBHAEUAUABPAE8ATABUAEUALgBWAEEAUgBJAEEATgBaACIALAAiAFMAVABBAFQALgBTAFQAQQBOAEQAQQBSAEQARgBFAEgATABFAFIAIgAsACIAUwBUAEEAVAAuAFMAVABEAEYARQBIAEwARQBSACIALAAiAFMAVABBAFQALgBWAE8AUgBaAEUASQBDAEgARQBOACIALAAiAEsATwBSAFIARQBMAC4AQwBSAEEATQBFAFIAIgAsACIASwBPAFIAUgBFAEwALgBDAFIAQQBNAEUAUgAuAFQARQBTAFQAIgAsACIASwBPAFIAUgBFAEwALgBLAEUATgBEAEEATAAiACwAIgBLAE8AUgBSAEUATAAuAEsARQBOAEQAQQBMAC4AVABFAFMAVAAiACwAIgBLAE8AUgBSAEUATAAuAFMAUABFAEEAUgBNAEEATgAiACwAIgBLAE8AUgBSAEUATAAuAFAARQBBAFIAUwBPAE4AIgAsACIASwBPAFIAUgBFAEwALgBQAEUAQQBSAFMATwBOAC4AVABFAFMAVAAiACwAIgBSAEUARwBSAEUAUwBTAEkATwBOAC4AUgBFAFMASQBEAFUARQBOACIALAAiAEsAUgBVAFMASwBBAEwALgBXAEEATABMAEkAUwAuAFQARQBTAFQAIgAsACIAUABBAEEAUgBXAEUASQBTAEUAUgAuAFQALgBUAEUAUwBUACIALAAiAFAAQQBBAFIAVwBFAEkAUwBFAFIALgBBAEIALgBUAEUAUwBUACIALAAiAEEAQgAuAFQARQBTAFQAIgAsACIAUwBQAEEATABUAEUATgBTAFUATQBNAEUAIgAsACIAWgBFAEkATABFAE4AUwBVAE0ATQBFACIALAAiAEsAVQBNAFUATABBAFQASQBWAEUAUwBVAE0ATQBFACIALAAiAEcAUgBVAFAAUABFAE4ALgBTAFUATQBNAEUAIgAsACIARwBSAFUAUABQAEUATgAuAEEATgBaAEEASABMACIALAAiAEcAUgBVAFAAUABFAE4ALgBOACIALAAiAEcAUgBVAFAAUABFAE4ALgBNAEkAVABUAEUATABXAEUAUgBUACIALAAiAEcAUgBVAFAAUABFAE4ALgBNAEUARABJAEEATgAiACwAIgBHAFIAVQBQAFAARQBOAC4ATQBJAE4AIgAsACIARwBSAFUAUABQAEUATgAuAE0AQQBYACIALAAiAEcAUgBVAFAAUABFAE4ALgBTAFQARABBAEIAVwAiACwAIgBHAFIAVQBQAFAARQBOAC4AUwBEACIALAAiAEcAUgBVAFAAUABFAE4ALgBTAEUAIgAsACIARwBSAFUAUABQAEUATgAuAFMAVABBAE4ARABBAFIARABGAEUASABMAEUAUgAiACwAIgBHAFIAVQBQAFAARQBOAC4AUwBUAEQARgBFAEgATABFAFIAIgAsACIARwBSAFUAUABQAEUATgAuAE0AQQBEACIALAAiAEcAUgBVAFAAUABFAE4ALgBJAFEAQQAiACwAIgBJAFMAVAAuAFYARQBLAFQATwBSACIALAAiAFMASQBOAEQALgBBAEwATABFAC4ARwBMAEUASQBDAEgAIgAsACIASQBTAFQALgBBAEwATABFAC4ARwBMAEUASQBDAEgAIgAsACIAVgBFAEsAVABPAFIALgBMAMQATgBHAEUAIgAsACIATQBEAEkATQBFAE4AUwBJAE8ATgAiACwAIgBNAFMAUABVAFIAIgAsACIASABXAEkARQBEAEUAUgBIAE8ATABFAE4AIgAsACIAVgBXAEkARQBEAEUAUgBIAE8ATABFAE4AIgAsACIATQBEAFIARQBJAEUAQwBLACIALAAiAFoAVQBGAEEATABMAFMATQBBAFQAUgBJAFgALgBOAE8AUgBNAEEATAAiACwAIgBTAEUAUQBVAEUATgBaAC4ASQBOAFQARQBSAFYAQQBMAEwAIgAsACIAVABBAEIARQBMAEwARQBOAC4AQQBVAFMAVwBBAEgATAAiACwAIgBVAE4ARwDcAEwAVABJAEcARQAuAEwA1gBTAEMASABFAE4AIgAsACIARQBOAFQARgBFAFIATgBFAC4ARgBFAEgATABFAFIAIgAsACIAUwBDAEgATgBFAEwATAAuAEsATwBEAEkARQBSAEUATgAiACwAIgBPAE4ARQAuAEgATwBUACIALAAiAE8ATgBFAC4ASABPAFQALgBDAE8ARABJAE4ARwAiACwAIgBWAFIARQBWAEUAUgBTAEUAIgAsACIAVgBFAEsAVABPAFIALgBVAE0ASwBFAEgAUgBFAE4AIgAsACIAUgBFAEcAUgBFAFMAUwBJAE8ATgAuAFMAVABBAFQAUwAiAF0ALAAiAGwAbwBjAGEAbABlACIAOgB7ACIAbABpAHMAdABTAGUAcABhAHIAYQB0AG8AcgAiADoAIgA7ACIALAAiAHIAbwB3AFMAZQBwAGEAcgBhAHQAbwByACIAOgAiADsAIgAsACIAYwBvAGwAdQBtAG4AUwBlAHAAYQByAGEAdABvAHIAIgA6ACIAXABcACIALAAiAHQAaABvAHUAcwBhAG4AZABzAFMAZQBwAGEAcgBhAHQAbwByACIAOgAiABkgIgAsACIAdABoAG8AdQBzAGEAbgBkAHMAUABvAHMAaQB0AGkAbwBuAHMAIgA6AFsAMwBdACwAIgBkAGUAYwBpAG0AYQBsAFMAZQBwAGEAcgBhAHQAbwByACIAOgAiAC4AIgAsACIAZABhAHQAZQBPAHIAZABlAHIAIgA6ACIARABNAFkAIgAsACIAYwB1AHIAcgBlAG4AYwB5AFMAeQBtAGIAbwBsACIAOgAiAEMASABGACIALAAiAGkAcwBDAHUAcgByAGUAbgBjAHkAUwB5AG0AYgBvAGwATABlAGEAZAAiADoAdAByAHUAZQAsACIAaQBzAEMAdQByAHIAZQBuAGMAeQBTAGUAcABCAHkAUwBwAGEAYwBlACIAOgB0AHIAdQBlACwAIgByAG8AdwBMAGUAdAB0AGUAcgAiADoAIgBaACIALAAiAGMAbwBsAHUAbQBuAEwAZQB0AHQAZQByACIAOgAiAFMAIgAsACIAcgBjAEwAZQBmAHQAQgByAGEAYwBrAGUAdAAiADoAIgAoACIALAAiAHIAYwBSAGkAZwBoAHQAQgByAGEAYwBrAGUAdAAiADoAIgApACIALAAiAHMAdABhAHQAZQBtAGUAbgB0AFMAZQBwAGEAcgBhAHQAbwByACIAOgAiADsAOwAiACwAIgBsAG8AYwBhAGwAZQBOAGEAbQBlACIAOgAiAGQAZQAtAGQAZQAiAH0AfQA=</AFEJSONBlob>
</file>

<file path=customXml/itemProps1.xml><?xml version="1.0" encoding="utf-8"?>
<ds:datastoreItem xmlns:ds="http://schemas.openxmlformats.org/officeDocument/2006/customXml" ds:itemID="{8F25148E-0B6E-1242-996F-BE531E5FFB9B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E6A4668-80C8-C641-B422-6ED5D0FC0572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iris</vt:lpstr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Glahn Christian (glah)</dc:creator>
  <cp:lastModifiedBy>Glahn Christian (glah)</cp:lastModifiedBy>
  <dcterms:created xsi:type="dcterms:W3CDTF">2024-05-03T12:39:42Z</dcterms:created>
  <dcterms:modified xsi:type="dcterms:W3CDTF">2026-02-11T15:15:24Z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9bb7c8b-3fd4-4dea-b697-0f2931e84efa_Enabled">
    <vt:lpwstr>true</vt:lpwstr>
  </property>
  <property fmtid="{D5CDD505-2E9C-101B-9397-08002B2CF9AE}" pid="3" name="MSIP_Label_29bb7c8b-3fd4-4dea-b697-0f2931e84efa_SetDate">
    <vt:lpwstr>2024-06-16T05:55:07Z</vt:lpwstr>
  </property>
  <property fmtid="{D5CDD505-2E9C-101B-9397-08002B2CF9AE}" pid="4" name="MSIP_Label_29bb7c8b-3fd4-4dea-b697-0f2931e84efa_Method">
    <vt:lpwstr>Privileged</vt:lpwstr>
  </property>
  <property fmtid="{D5CDD505-2E9C-101B-9397-08002B2CF9AE}" pid="5" name="MSIP_Label_29bb7c8b-3fd4-4dea-b697-0f2931e84efa_Name">
    <vt:lpwstr>29bb7c8b-3fd4-4dea-b697-0f2931e84efa</vt:lpwstr>
  </property>
  <property fmtid="{D5CDD505-2E9C-101B-9397-08002B2CF9AE}" pid="6" name="MSIP_Label_29bb7c8b-3fd4-4dea-b697-0f2931e84efa_SiteId">
    <vt:lpwstr>5d1a9f9d-201f-4a10-b983-451cf65cbc1e</vt:lpwstr>
  </property>
  <property fmtid="{D5CDD505-2E9C-101B-9397-08002B2CF9AE}" pid="7" name="MSIP_Label_29bb7c8b-3fd4-4dea-b697-0f2931e84efa_ActionId">
    <vt:lpwstr>0dc0f813-0f39-4a3c-a9cd-71ec3d6807eb</vt:lpwstr>
  </property>
  <property fmtid="{D5CDD505-2E9C-101B-9397-08002B2CF9AE}" pid="8" name="MSIP_Label_29bb7c8b-3fd4-4dea-b697-0f2931e84efa_ContentBits">
    <vt:lpwstr>0</vt:lpwstr>
  </property>
</Properties>
</file>