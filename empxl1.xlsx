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ah/code/phish108/empxl/"/>
    </mc:Choice>
  </mc:AlternateContent>
  <xr:revisionPtr revIDLastSave="0" documentId="8_{B5D2BBF1-BAA6-3D4C-A418-9C9B7D8A8056}" xr6:coauthVersionLast="47" xr6:coauthVersionMax="47" xr10:uidLastSave="{00000000-0000-0000-0000-000000000000}"/>
  <bookViews>
    <workbookView xWindow="2600" yWindow="1880" windowWidth="32040" windowHeight="21500" activeTab="1" xr2:uid="{485B2935-2AC4-CF45-85A3-1B3575BC80C2}"/>
  </bookViews>
  <sheets>
    <sheet name="Tabelle1 (2)" sheetId="4" r:id="rId1"/>
    <sheet name="Tabelle1" sheetId="3" r:id="rId2"/>
    <sheet name="Tabelle2" sheetId="5" r:id="rId3"/>
  </sheets>
  <definedNames>
    <definedName name="AB.TEST">_xlfn.LAMBDA(_xlpm.a_var,_xlpm.ua_var,_xlop.alternative,_xlop.gepaart, _xlfn.IFS(AND(_xlfn.ISOMITTED(_xlpm.alternative), _xlfn.ISOMITTED(_xlpm.gepaart)), T.TEST.S(_xlpm.a_var, _xlpm.ua_var), _xlfn.ISOMITTED(_xlpm.alternative), T.TEST.S(_xlpm.a_var, _xlpm.ua_var, , _xlpm.gepaart), _xlfn.ISOMITTED(_xlpm.gepaart), T.TEST.S(_xlpm.a_var, _xlpm.ua_var, _xlpm.alternative), TRUE, T.TEST.S(_xlpm.a_var, _xlpm.ua_var, _xlpm.alternative, _xlpm.gepaart)))</definedName>
    <definedName name="ANOVA.TEST">_xlfn.LAMBDA(_xlpm.dep_var,_xlpm.indep_var,_xlop.headers, _xlfn.LET(_xlpm.n_j, GROUP.COUNT(_xlpm.indep_var), _xlpm.group_k, COUNT(_xlpm.n_j), _xlpm.N_all, COUNT(_xlpm.dep_var), _xlpm.df_1, _xlpm.group_k - 1, _xlpm.df_2, _xlpm.N_all - _xlpm.group_k, _xlpm.mu_all, AVERAGE(_xlpm.dep_var), _xlpm.mu_j, GROUP.MEAN(_xlpm.dep_var, _xlpm.indep_var), _xlpm.m_groups, 1 * (_xlpm.indep_var = TRANSPOSE(GROUP.LABELS(_xlpm.indep_var))), _xlpm.t_SSB, SUM(_xlpm.n_j * (_xlpm.mu_j - _xlpm.mu_all) ^ 2), _xlpm.t_SSE, SUM((_xlpm.m_groups * _xlpm.dep_var - _xlpm.m_groups * TRANSPOSE(_xlpm.mu_j)) ^ 2), _xlpm.F_value, (_xlpm.t_SSB / _xlpm.df_1) / (_xlpm.t_SSE / _xlpm.df_2), _xlpm.p_value, _xlfn.F.DIST.RT(_xlpm.F_value, _xlpm.df_1, _xlpm.df_2), _xlpm.results, _xlfn.HSTACK(_xlpm.F_value, _xlpm.df_1, _xlpm.df_2, _xlpm.p_value), IF(OR(_xlfn.ISOMITTED(_xlpm.headers), NOT(_xlpm.headers)), _xlpm.results, _xlfn.VSTACK(_xlfn.HSTACK("F", "df_1", "df_2", "p"), _xlpm.results))))</definedName>
    <definedName name="CHIQU.FUNC.TEST">_xlfn.LAMBDA(_xlpm.Vals,_xlpm.n_params,_xlpm.REFFUNCTION, _xlfn.LET(_xlpm.nVals, COUNT(_xlpm.Vals), _xlpm.nGrps, ROUNDUP(_xlpm.nVals ^ 0.4 * 2, 0), _xlpm.expV, _xlpm.nVals / _xlpm.nGrps, _xlpm.uniqueVals, COUNT(_xlfn.UNIQUE(_xlpm.Vals)), _xlpm.nGrpsCalc, IF(_xlpm.uniqueVals &lt; (_xlpm.nGrps + _xlpm.expV), ROUNDUP(_xlpm.uniqueVals ^ 0.4 * 2, 0), _xlpm.nGrps), _xlpm.expVCalc, _xlpm.nVals / _xlpm.nGrpsCalc, _xlpm.props, _xlpm.REFFUNCTION(_xlpm.Vals), _xlpm.vGrp, INT(_xlpm.nGrpsCalc * _xlpm.props + 1), _xlpm.allgrps, _xlfn.SEQUENCE(_xlpm.nGrpsCalc), _xlpm.cnts, _xlfn.GROUPBY(_xlpm.vGrp, _xlpm.vGrp, _xleta.COUNT, , 0), _xlpm.ogrps, _xlfn.CHOOSECOLS(_xlpm.cnts, 1), _xlpm.vgrps, _xlfn.CHOOSECOLS(_xlpm.cnts, 2), _xlpm.seqOgroups, AND(COUNT(_xlpm.ogrps) &lt; _xlpm.nGrpsCalc, _xlfn.SEQUENCE(COUNT(_xlpm.ogrps), , MIN(_xlpm.ogrps)) = _xlpm.ogrps), _xlpm.allgrpsOG, IF(_xlpm.seqOgroups, _xlpm.ogrps, _xlpm.allgrps), _xlpm.nGrpsCalcOG, IF(_xlpm.seqOgroups, COUNT(_xlpm.ogrps), _xlpm.nGrpsCalc), _xlpm.expVCalcOG, _xlpm.nVals / _xlpm.nGrpsCalcOG, _xlpm.allvals, _xlfn.XLOOKUP(_xlpm.allgrpsOG, _xlpm.ogrps, _xlpm.vgrps, 0), _xlpm.chiq, SUM((_xlpm.allvals - _xlpm.expVCalcOG) ^ 2 / _xlpm.expVCalcOG), _xlfn.HSTACK(_xlfn.CHISQ.DIST.RT(_xlpm.chiq, _xlpm.nGrpsCalcOG - 1 - _xlpm.n_params), _xlpm.chiq, _xlpm.nGrpsCalcOG - _xlpm.n_params - 1)))</definedName>
    <definedName name="CHIQU.TEST.S">_xlfn.LAMBDA(_xlpm.dep_var,_xlpm.indep_var,_xlop.header, _xlfn.LET(_xlpm.n_ij, STAT.TABLE(_xlpm.dep_var, _xlpm.indep_var), IF(_xlfn.ISOMITTED(_xlpm.header), CHIQU.TEST.X(_xlpm.n_ij, FALSE), CHIQU.TEST.X(_xlpm.n_ij, _xlpm.header))))</definedName>
    <definedName name="CHIQU.TEST.X">_xlfn.LAMBDA(_xlpm.n_ij,_xlop.header, _xlfn.LET(_xlpm.n_i, ROWSUM(_xlpm.n_ij), _xlpm.n_j, COLSUM(_xlpm.n_ij), _xlpm.n, SUM(_xlpm.n_j), _xlpm.EW, _xlpm.n_i * _xlpm.n_j / _xlpm.n, _xlpm.v_xi2, SUM((_xlpm.n_ij - _xlpm.EW) ^ 2 / _xlpm.EW), _xlpm.df, MAX(COUNT(_xlpm.n_i), COUNT(_xlpm.n_j)) - 1, _xlpm.results, _xlfn.HSTACK(_xlfn.CHISQ.DIST.RT(_xlpm.v_xi2, _xlpm.df), _xlpm.df), IF(OR(_xlfn.ISOMITTED(_xlpm.header), NOT(_xlpm.header)), _xlpm.results, _xlfn.VSTACK(CHIQU.TEST2.HEADER(), _xlpm.results))))</definedName>
    <definedName name="CHIQU.TEST2">CHIQU.TEST.S</definedName>
    <definedName name="CHIQU.TEST2.HEADER">_xlfn.LAMBDA(_xlfn.HSTACK("p", "df"))</definedName>
    <definedName name="COLSUM">_xlfn.LAMBDA(_xlpm.matrix, _xlfn.BYCOL(_xlpm.matrix, _xleta.SUM))</definedName>
    <definedName name="CORR.CRAMER">_xlfn.LAMBDA(_xlpm.var_x,_xlpm.var_y, _xlfn.LET(_xlpm.n_i, STAT.TABLE(_xlpm.var_x), _xlpm.n_j, STAT.TABLE(_xlpm.var_y), _xlpm.div, MIN(COUNT(_xlpm.n_i), COUNT(_xlpm.n_j)), _xlpm.n, SUM(_xlpm.n_j), _xlpm.x_base, _xlpm.n_i * TRANSPOSE(_xlpm.n_j) / _xlpm.n, _xlpm.n_ij, STAT.TABLE(_xlpm.var_x, _xlpm.var_y), SQRT((SUM((_xlpm.n_ij - _xlpm.x_base) ^ 2 / _xlpm.x_base)) / (_xlpm.n * (_xlpm.div - 1)))))</definedName>
    <definedName name="CORR.CRAMER.TEST">_xlfn.LAMBDA(_xlpm.var_x,_xlpm.var_y,_xlop.headers, _xlfn.LET(_xlpm.headers, OR(_xlfn.ISOMITTED(_xlpm.headers), NOT(_xlpm.headers)), _xlpm.r_value, CORR.CRAMER(_xlpm.var_x, _xlpm.var_y), _xlpm.p_value, CHIQU.TEST.S(_xlpm.var_x, _xlpm.var_y), _xlpm.results, _xlfn.HSTACK(_xlpm.r_value, _xlpm.p_value), IF(_xlpm.headers, _xlpm.results, _xlfn.VSTACK(_xlfn.HSTACK("V", "p"), _xlpm.results))))</definedName>
    <definedName name="CORR.KENDAL">_xlfn.LAMBDA(_xlpm.var_x,_xlpm.var_y, _xlfn.LET(_xlpm.s_n, COUNT(_xlpm.var_x), _xlpm.x_j, TRANSPOSE(_xlpm.var_x), _xlpm.y_j, TRANSPOSE(_xlpm.var_y), _xlpm.triangle, MTRIANGLE(_xlpm.s_n, TRUE, TRUE), _xlpm.tr_sign, STAT.SIGN(_xlpm.var_x - _xlpm.x_j) * STAT.SIGN(_xlpm.var_y - _xlpm.y_j) * _xlpm.triangle, _xlpm.n_c, SUM(1 * (_xlpm.tr_sign &gt; 0)), _xlpm.n_d, SUM(1 * (_xlpm.tr_sign &lt; 0)), _xlpm.m_k, MIN(COUNT(_xlfn.UNIQUE(_xlpm.var_x)), COUNT(_xlfn.UNIQUE(_xlpm.var_y))), IF(_xlpm.s_n = COUNT(_xlpm.var_y), (_xlpm.n_c - _xlpm.n_d) * 2 / (_xlpm.s_n ^ 2 * ((_xlpm.m_k - 1) / _xlpm.m_k)), #VALUE!)))</definedName>
    <definedName name="CORR.KENDAL.TEST">_xlfn.LAMBDA(_xlpm.var_x,_xlpm.var_y,_xlop.headers, _xlfn.LET(_xlpm.headers, OR(_xlfn.ISOMITTED(_xlpm.headers), NOT(_xlpm.headers)), _xlpm.s_n, COUNT(_xlpm.var_x), _xlpm.x_j, TRANSPOSE(_xlpm.var_x), _xlpm.y_j, TRANSPOSE(_xlpm.var_y), _xlpm.triangle, MTRIANGLE(_xlpm.s_n, TRUE, TRUE), _xlpm.tr_sign, STAT.SIGN(_xlpm.var_x - _xlpm.x_j) * STAT.SIGN(_xlpm.var_y - _xlpm.y_j) * _xlpm.triangle, _xlpm.n_c, SUM(1 * (_xlpm.tr_sign &gt; 0)), _xlpm.n_d, SUM(1 * (_xlpm.tr_sign &lt; 0)), _xlpm.m_k, MIN(COUNT(_xlfn.UNIQUE(_xlpm.var_x)), COUNT(_xlfn.UNIQUE(_xlpm.var_y))), _xlpm.r_tau, (_xlpm.n_c - _xlpm.n_d) * 2 / (_xlpm.s_n ^ 2 * ((_xlpm.m_k - 1) / _xlpm.m_k)), _xlpm.v_0, _xlpm.s_n * (_xlpm.s_n - 1) * (2 * _xlpm.s_n + 5), _xlpm.t_rank, _xlfn.RANK.AVG(_xlpm.var_x, _xlpm.var_x), _xlpm.u_rank, _xlfn.RANK.AVG(_xlpm.var_y, _xlpm.var_y), _xlpm.t_i, GRUPPEN.ANZAHL(_xlpm.t_rank), _xlpm.u_i, GRUPPEN.ANZAHL(_xlpm.u_rank), _xlpm.v_t, SUM(_xlpm.t_i * (_xlpm.t_i - 1) * (2 * _xlpm.t_i + 5)), _xlpm.v_u, SUM(_xlpm.u_i * (_xlpm.u_i - 1) * (2 * _xlpm.u_i + 5)), _xlpm.v_1, SUM(_xlpm.t_i * (_xlpm.t_i - 1)) * SUM(_xlpm.u_i * (_xlpm.u_i - 1)) / (2 * _xlpm.s_n * (_xlpm.s_n - 1)), _xlpm.v_2, SUM(_xlpm.t_i * (_xlpm.t_i - 1) * (_xlpm.t_i - 2)) * SUM(_xlpm.u_i * (_xlpm.u_i - 1) * (_xlpm.u_i - 2)) / (9 * _xlpm.s_n * (_xlpm.s_n - 1) * (_xlpm.s_n - 2)), _xlpm.v_all, 1 / 18 * _xlpm.v_0 - (_xlpm.v_t + _xlpm.v_u) / 18 + _xlpm.v_1 + _xlpm.v_2, _xlpm.z_b, (_xlpm.n_c - _xlpm.n_d) / SQRT(_xlpm.v_all), _xlpm.p_v, _xlfn.NORM.DIST(_xlpm.z_b, 0, 1, TRUE), _xlpm.p_value, 2 * IF(_xlpm.p_v &gt; 0.5, 1 - _xlpm.p_v, _xlpm.p_v), _xlpm.results, _xlfn.HSTACK(_xlpm.r_tau, _xlpm.z_b, _xlpm.p_value), IF(_xlpm.headers, _xlpm.results, _xlfn.VSTACK(_xlfn.HSTACK("tau", "z", "p"), _xlpm.results))))</definedName>
    <definedName name="CORR.PEARSON">_xlfn.LAMBDA(_xlpm.var_x,_xlpm.var_y, CORREL(_xlpm.var_x, _xlpm.var_y))</definedName>
    <definedName name="CORR.PEARSON.TEST">_xlfn.LAMBDA(_xlpm.var_x,_xlpm.var_y,_xlop.headers, _xlfn.LET(_xlpm.c_pearson, CORREL(_xlpm.var_x, _xlpm.var_y), _xlpm.t_value, _xlpm.c_pearson * SQRT(COUNT(_xlpm.var_x) - 2) / SQRT(1 - _xlpm.c_pearson ^ 2), _xlpm.p_value, _xlfn.T.DIST.2T(_xlpm.t_value, COUNT(_xlpm.var_x) - 2), _xlpm.results, _xlfn.HSTACK(_xlpm.c_pearson, _xlpm.t_value, _xlpm.p_value), IF(OR(_xlfn.ISOMITTED(_xlpm.headers), NOT(_xlpm.headers)), _xlpm.results, _xlfn.VSTACK(_xlfn.HSTACK("r", "t", "p"), _xlpm.results))))</definedName>
    <definedName name="CORR.SPEARMAN">_xlfn.LAMBDA(_xlpm.var_x,_xlpm.var_y, CORREL(_xlfn.RANK.AVG(_xlpm.var_x, _xlpm.var_x), _xlfn.RANK.AVG(_xlpm.var_y, _xlpm.var_y)))</definedName>
    <definedName name="CUMSUM">_xlfn.LAMBDA(_xlpm.vector, _xlfn.SCAN(0, _xlpm.vector, _xlfn.LAMBDA(_xlpm.accu,_xlpm.value, _xlpm.accu + _xlpm.value)))</definedName>
    <definedName name="DUMMY.CODING">_xlfn.LAMBDA(_xlpm.variable,_xlop.header, _xlfn.LET(_xlpm.variable, _xlfn._xlws.FILTER(_xlpm.variable, NOT(ISERROR(_xlpm.variable))), _xlpm.k_names, TRANSPOSE(_xlfn.UNIQUE(_xlpm.variable)), _xlpm.k_ref, _xlfn.CHOOSECOLS(_xlpm.k_names, _xlfn.SEQUENCE(1, COUNTA(_xlpm.k_names) - 1)), _xlpm.codes, 1 * (_xlpm.variable = _xlpm.k_ref), IF(OR(_xlfn.ISOMITTED(_xlpm.header), NOT(_xlpm.header)), _xlpm.codes, _xlfn.VSTACK(_xlpm.k_ref, _xlpm.codes))))</definedName>
    <definedName name="DUNN.TEST">_xlfn.LAMBDA(_xlpm.dep_var,_xlpm.indep_var,_xlop.adjustment, _xlfn.LET(_xlpm.ranks, _xlfn.RANK.AVG(_xlpm.dep_var, _xlpm.dep_var), _xlpm.n_all, COUNT(_xlpm.dep_var), _xlpm.n_i, GROUP.COUNT(_xlpm.indep_var), _xlpm.group_i, _xlfn.UNIQUE(_xlpm.indep_var), _xlpm.ranksum_i, COLSUM(_xlpm.ranks * (_xlpm.indep_var = TRANSPOSE(_xlpm.group_i))) / TRANSPOSE(_xlpm.n_i), _xlpm.sigma_correction, _xlpm.n_all * (_xlpm.n_all + 1) / 12, _xlpm.bind_count, GROUP.COUNT(_xlpm.ranks), _xlpm.bind_correction, SUM(_xlpm.bind_count ^ 3 - _xlpm.bind_count) / (12 * (_xlpm.n_all - 1)), _xlpm.mat_triang, MTRIANGLE(COUNT(_xlpm.n_i), FALSE, TRUE), _xlpm.mat_W1, _xlpm.mat_triang * TRANSPOSE(_xlpm.ranksum_i), _xlpm.mat_W2, _xlpm.mat_triang * _xlpm.ranksum_i, _xlpm.mat_n1, _xlpm.mat_triang * TRANSPOSE(1 / _xlpm.n_i), _xlpm.mat_n2, _xlpm.mat_triang * 1 / _xlpm.n_i, _xlpm.sigma, SQRT((_xlpm.sigma_correction - _xlpm.bind_correction) * (_xlpm.mat_n1 + _xlpm.mat_n2)), _xlpm.delta_RS, _xlpm.mat_W1 - _xlpm.mat_W2, _xlpm.z_value, _xlpm.delta_RS / _xlpm.sigma, _xlpm.g_nbr, _xlfn.SEQUENCE(COUNT(_xlpm.n_i)), _xlpm.z_id_raw, _xlfn.TOCOL(_xlpm.g_nbr * _xlpm.mat_triang), _xlpm.s_id_raw, _xlfn.TOCOL(TRANSPOSE(_xlpm.g_nbr) * _xlpm.mat_triang), _xlpm.z_id, _xlfn._xlws.FILTER(_xlpm.z_id_raw, _xlpm.z_id_raw), _xlpm.s_id, _xlfn._xlws.FILTER(_xlpm.s_id_raw, _xlpm.s_id_raw), _xlpm.z_final, INDEX(_xlpm.z_value, _xlpm.z_id, _xlpm.s_id), _xlpm.m_pairs, SUM(_xlfn.SEQUENCE(COUNT(_xlpm.n_i), 1, 0)), _xlpm.p_value_raw, _xlfn.NORM.S.DIST(IF(_xlpm.z_final &gt; 0, -1 * _xlpm.z_final, _xlpm.z_final), TRUE), _xlpm.p_value, _xlfn.IFS(OR(_xlfn.ISOMITTED(_xlpm.adjustment), LOWER(_xlpm.adjustment) = "holm"), P.ADJ.HOLM(_xlpm.p_value_raw, _xlpm.m_pairs), LOWER(_xlpm.adjustment) = "bonferroni", P.ADJ.BONFERRONI(_xlpm.p_value_raw, _xlpm.m_pairs), LOWER(_xlpm.adjustment) = "hochberg", P.ADJ.HOCHBERG(_xlpm.p_value_raw, _xlpm.m_pairs), LOWER(_xlpm.adjustment) = "sidak", P.ADJ.SIDAK(_xlpm.p_value_raw, _xlpm.m_pairs), LOWER(_xlpm.adjustment) = "holmsidak", P.ADJ.HOLM_SIDAK(_xlpm.p_value_raw, _xlpm.m_pairs), LOWER(_xlpm.adjustment) = "holm-sidak", P.ADJ.HOLM_SIDAK(_xlpm.p_value_raw, _xlpm.m_pairs), LOWER(_xlpm.adjustment) = "holm_sidak", P.ADJ.HOLM_SIDAK(_xlpm.p_value_raw, _xlpm.m_pairs), TRUE, _xlpm.p_value_raw), _xlfn.VSTACK(_xlfn.HSTACK("A", "B", "Statistik", "p"), _xlfn.HSTACK(_xlfn.CHOOSEROWS(_xlpm.group_i, _xlpm.z_id), _xlfn.CHOOSEROWS(_xlpm.group_i, _xlpm.s_id), _xlpm.z_final, IF(_xlpm.p_value &gt; 1, 1, _xlpm.p_value)))))</definedName>
    <definedName name="ENTFERNE.FEHLER">_xlfn.LAMBDA(_xlpm.vektor_oder_matrix,_xlop.ungültige_werte, IF(_xlfn.ISOMITTED(_xlpm.ungültige_werte), REMOVE.INVALID(_xlpm.vektor_oder_matrix), REMOVE.INVALID(_xlpm.vektor_oder_matrix, _xlpm.ungültige_werte)))</definedName>
    <definedName name="ExterneDaten_1" localSheetId="0" hidden="1">'Tabelle1 (2)'!$A$1:$B$21</definedName>
    <definedName name="F.TEST.S">_xlfn.LAMBDA(_xlpm.dep_var,_xlpm.indep_var,_xlop.headers, _xlfn.LET(_xlpm.l_uv, _xlfn.TOCOL(_xlfn.UNIQUE(_xlpm.indep_var)), _xlpm.result, IF(COUNTA(_xlpm.l_uv) = 2, _xlfn.F.TEST(_xlfn._xlws.FILTER(_xlpm.dep_var, _xlpm.indep_var = INDEX(_xlpm.indep_var, 1, 1)), _xlfn._xlws.FILTER(_xlpm.dep_var, _xlpm.indep_var = INDEX(_xlpm.indep_var, 2, 1))), #VALUE!), IF(OR(_xlfn.ISOMITTED(_xlpm.headers), NOT(_xlpm.headers)), _xlpm.result, _xlfn.VSTACK("p", _xlpm.result))))</definedName>
    <definedName name="GROUP.COUNT">_xlfn.LAMBDA(_xlpm.groups, _xlfn.CHOOSECOLS(_xlfn.GROUPBY(_xlpm.groups, _xlpm.groups, _xleta.COUNTA, , 0), 2))</definedName>
    <definedName name="GROUP.IQR">_xlfn.LAMBDA(_xlpm.values,_xlpm.groups, _xlfn.CHOOSECOLS(_xlfn.GROUPBY(_xlpm.groups, _xlpm.values, STAT.IQR, , 0), 2))</definedName>
    <definedName name="GROUP.LABELS">_xlfn.LAMBDA(_xlpm.groups, _xlfn.CHOOSECOLS(_xlfn.GROUPBY(_xlpm.groups, _xlpm.groups, _xleta.COUNTA, , 0), 1))</definedName>
    <definedName name="GROUP.MAD">_xlfn.LAMBDA(_xlpm.values,_xlpm.groups, _xlfn.CHOOSECOLS(_xlfn.GROUPBY(_xlpm.groups, _xlpm.values, STAT.MAD, , 0), 2))</definedName>
    <definedName name="GROUP.MAX">_xlfn.LAMBDA(_xlpm.values,_xlpm.groups, _xlfn.CHOOSECOLS(_xlfn.GROUPBY(_xlpm.groups, _xlpm.values, _xleta.MAX, , 0), 2))</definedName>
    <definedName name="GROUP.MEAN">_xlfn.LAMBDA(_xlpm.values,_xlpm.groups, _xlfn.CHOOSECOLS(_xlfn.GROUPBY(_xlpm.groups, _xlpm.values, _xleta.AVERAGE, , 0), 2))</definedName>
    <definedName name="GROUP.MEDIAN">_xlfn.LAMBDA(_xlpm.values,_xlpm.groups, _xlfn.CHOOSECOLS(_xlfn.GROUPBY(_xlpm.groups, _xlpm.values, _xleta.MEDIAN, , 0), 2))</definedName>
    <definedName name="GROUP.MIN">_xlfn.LAMBDA(_xlpm.values,_xlpm.groups, _xlfn.CHOOSECOLS(_xlfn.GROUPBY(_xlpm.groups, _xlpm.values, _xleta.MIN, , 0), 2))</definedName>
    <definedName name="GROUP.SD">_xlfn.LAMBDA(_xlpm.values,_xlpm.groups, _xlfn.CHOOSECOLS(_xlfn.GROUPBY(_xlpm.groups, _xlpm.values, _xleta.STDEV.S, , 0), 2))</definedName>
    <definedName name="GROUP.SE">_xlfn.LAMBDA(_xlpm.values,_xlpm.groups, _xlfn.CHOOSECOLS(_xlfn.GROUPBY(_xlpm.groups, _xlpm.values, STAT.SE, , 0), 2))</definedName>
    <definedName name="GROUP.SUM">_xlfn.LAMBDA(_xlpm.values,_xlpm.groups, _xlfn.CHOOSECOLS(_xlfn.GROUPBY(_xlpm.groups, _xlpm.values, _xleta.SUM, , 0), 2))</definedName>
    <definedName name="GRUPPEN.ANZAHL">_xlfn.LAMBDA(_xlpm.gruppen_vektor, GROUP.COUNT(_xlpm.gruppen_vektor))</definedName>
    <definedName name="GRUPPEN.IQA">_xlfn.LAMBDA(_xlpm.werte_vektor,_xlpm.gruppen_vektor, GROUP.IQR(_xlpm.werte_vektor, _xlpm.gruppen_vektor))</definedName>
    <definedName name="GRUPPEN.MAX">_xlfn.LAMBDA(_xlpm.werte_vektor,_xlpm.gruppen_vektor, GROUP.MAX(_xlpm.werte_vektor, _xlpm.gruppen_vektor))</definedName>
    <definedName name="GRUPPEN.MEDIAN">_xlfn.LAMBDA(_xlpm.werte_vektor,_xlpm.gruppen_vektor, GROUP.MEDIAN(_xlpm.werte_vektor, _xlpm.gruppen_vektor))</definedName>
    <definedName name="GRUPPEN.MIN">_xlfn.LAMBDA(_xlpm.werte_vektor,_xlpm.gruppen_vektor, GROUP.MIN(_xlpm.werte_vektor, _xlpm.gruppen_vektor))</definedName>
    <definedName name="GRUPPEN.MITTELWERT">_xlfn.LAMBDA(_xlpm.werte_vektor,_xlpm.gruppen_vektor, GROUP.MEAN(_xlpm.werte_vektor, _xlpm.gruppen_vektor))</definedName>
    <definedName name="GRUPPEN.N">_xlfn.LAMBDA(_xlpm.gruppen_vektor, GROUP.COUNT(_xlpm.gruppen_vektor))</definedName>
    <definedName name="GRUPPEN.SD">_xlfn.LAMBDA(_xlpm.werte_vektor,_xlpm.gruppen_vektor, GROUP.SD(_xlpm.werte_vektor, _xlpm.gruppen_vektor))</definedName>
    <definedName name="GRUPPEN.SE">_xlfn.LAMBDA(_xlpm.werte_vektor,_xlpm.gruppen_vektor, GROUP.SE(_xlpm.werte_vektor, _xlpm.gruppen_vektor))</definedName>
    <definedName name="GRUPPEN.STANDARDFEHLER">_xlfn.LAMBDA(_xlpm.werte_vektor,_xlpm.gruppen_vektor, GROUP.SE(_xlpm.werte_vektor, _xlpm.gruppen_vektor))</definedName>
    <definedName name="GRUPPEN.STDABW">_xlfn.LAMBDA(_xlpm.werte_vektor,_xlpm.gruppen_vektor, GROUP.SD(_xlpm.werte_vektor, _xlpm.gruppen_vektor))</definedName>
    <definedName name="GRUPPEN.STDFEHLER">_xlfn.LAMBDA(_xlpm.werte_vektor,_xlpm.gruppen_vektor, GROUP.SE(_xlpm.werte_vektor, _xlpm.gruppen_vektor)), GRUPPEN.MAD = _xlfn.LAMBDA(_xlpm.werte_vektor,_xlpm.gruppen_vektor, GROUP.MAD(_xlpm.werte_vektor, _xlpm.gruppen_vektor))</definedName>
    <definedName name="GRUPPEN.SUMME">_xlfn.LAMBDA(_xlpm.werte_vektor,_xlpm.gruppen_vektor, GROUP.SUM(_xlpm.werte_vektor, _xlpm.gruppen_vektor))</definedName>
    <definedName name="HREPEAT">_xlfn.LAMBDA(_xlpm.value,_xlpm.n_times, IF(AND(COUNTA(_xlpm.value) = 1, COUNT(_xlpm.n_times) = 1, _xlpm.n_times &gt; 0), IF(ISNUMBER(_xlpm.value) + ISLOGICAL(_xlpm.value), _xlfn.SEQUENCE(1, _xlpm.n_times, _xlpm.value, 0), IF(_xlfn.SEQUENCE(1, _xlpm.n_times), _xlpm.value)), #VALUE!))</definedName>
    <definedName name="HWIEDERHOLEN">_xlfn.LAMBDA(_xlpm.wert,_xlpm.n_wiederholungen, HREPEAT(_xlpm.wert, _xlpm.n_wiederholungen))</definedName>
    <definedName name="IS.ALL.EQUAL">_xlfn.LAMBDA(_xlpm.vector, AND(_xlpm.vector = INDEX(_xlpm.vector, 1, 1)))</definedName>
    <definedName name="IS.VECTOR">_xlfn.LAMBDA(_xlpm.vector, IFERROR(IS.ALL.EQUAL(_xlfn.MAP(REMOVE.INVALID(_xlpm.vector), _xleta.TYPE)), FALSE))</definedName>
    <definedName name="IST.ALLE.GLEICH">_xlfn.LAMBDA(_xlpm.vektor, IS.ALL.EQUAL(_xlpm.vektor))</definedName>
    <definedName name="IST.VEKTOR">_xlfn.LAMBDA(_xlpm.vektor, IS.VECTOR(_xlpm.vektor))</definedName>
    <definedName name="KORREL.CRAMER">_xlfn.LAMBDA(_xlpm.a_var,_xlpm.ua_var, CORR.CRAMER(_xlpm.a_var, _xlpm.ua_var))</definedName>
    <definedName name="KORREL.CRAMER.TEST">_xlfn.LAMBDA(_xlpm.a_var,_xlpm.ua_var,_xlop.mit_überschrift, CORR.CRAMER.TEST(_xlpm.a_var, _xlpm.ua_var, AND(NOT(_xlfn.ISOMITTED(_xlpm.mit_überschrift)), _xlpm.mit_überschrift)))</definedName>
    <definedName name="KORREL.KENDAL">_xlfn.LAMBDA(_xlpm.a_var,_xlpm.ua_var, CORR.KENDAL(_xlpm.a_var, _xlpm.ua_var))</definedName>
    <definedName name="KORREL.KENDAL.TEST">_xlfn.LAMBDA(_xlpm.a_var,_xlpm.ua_var,_xlop.mit_überschrift, CORR.KENDAL.TEST(_xlpm.a_var, _xlpm.ua_var, AND(NOT(_xlfn.ISOMITTED(_xlpm.mit_überschrift)), _xlpm.mit_überschrift)))</definedName>
    <definedName name="KORREL.PEARSON">_xlfn.LAMBDA(_xlpm.a_var,_xlpm.ua_var, CORREL(_xlpm.a_var, _xlpm.ua_var))</definedName>
    <definedName name="KORREL.PEARSON.TEST">_xlfn.LAMBDA(_xlpm.a_var,_xlpm.ua_var,_xlop.mit_überschrift, CORR.PEARSON.TEST(_xlpm.a_var, _xlpm.ua_var, AND(NOT(_xlfn.ISOMITTED(_xlpm.mit_überschrift)), _xlpm.mit_überschrift)))</definedName>
    <definedName name="KORREL.SPEARMAN">_xlfn.LAMBDA(_xlpm.a_var,_xlpm.ua_var, CORR.SPEARMAN(_xlpm.a_var, _xlpm.ua_var))</definedName>
    <definedName name="KRUSKAL_WALLIS.TEST">_xlfn.LAMBDA(_xlpm.dep_var,_xlpm.indep_var,_xlop.headers, _xlfn.LET(_xlpm.n_all, COUNT(_xlpm.dep_var), _xlpm.n_groups, COUNTA(_xlfn.UNIQUE(_xlpm.indep_var)), _xlpm.d_f, _xlpm.n_groups - 1, _xlpm.n_h, GROUP.COUNT(_xlpm.indep_var), _xlpm.ranks, _xlfn.RANK.AVG(_xlpm.dep_var, _xlpm.dep_var), _xlpm.b_bindings, COUNT(_xlfn.UNIQUE(_xlpm.ranks)) &lt; _xlpm.n_all, _xlpm.h_correction, -3 * (_xlpm.n_all + 1), _xlpm.h_factor, 12 / (_xlpm.n_groups * (_xlpm.n_groups + 1) - _xlpm.h_correction), _xlpm.m_groups, 1 * (_xlpm.indep_var = TRANSPOSE(_xlfn.UNIQUE(_xlpm.indep_var))), _xlpm.H_core, _xlpm.h_factor * SUM(COLSUM(_xlpm.m_groups * _xlpm.ranks) / TRANSPOSE(_xlpm.n_h)), _xlpm.bind_factor, 1 / (_xlpm.n_all ^ 3 - _xlpm.n_all), _xlpm.bind_count, GROUP.COUNT(_xlpm.ranks), _xlpm.bind_correction, 1 - SUM(_xlpm.bind_count ^ 3 - _xlpm.bind_count) * _xlpm.bind_factor, _xlpm.H_value, IF(_xlpm.b_bindings, _xlpm.H_core / _xlpm.bind_correction, _xlpm.H_core), _xlpm.p_value, _xlfn.CHISQ.DIST.RT(_xlpm.H_value, _xlpm.d_f), _xlpm.results, _xlfn.HSTACK(_xlpm.H_value, _xlpm.d_f, _xlpm.p_value), IF(OR(_xlfn.ISOMITTED(_xlpm.headers), NOT(_xlpm.headers)), _xlpm.results, _xlfn.VSTACK(_xlfn.HSTACK("H", "df", "p"), _xlpm.results))))</definedName>
    <definedName name="KRUSKAL.WALLIS.TEST">_xlfn.LAMBDA(_xlpm.a_var,_xlpm.ua_var,_xlop.mit_überschrift, KRUSKAL_WALLIS.TEST(_xlpm.a_var, _xlpm.ua_var, AND(NOT(_xlfn.ISOMITTED(_xlpm.mit_überschrift)), _xlpm.mit_überschrift)))</definedName>
    <definedName name="KUMULATIVESUMME">_xlfn.LAMBDA(_xlpm.vektor, CUMSUM(_xlpm.vektor))</definedName>
    <definedName name="LEVENE.TEST">_xlfn.LAMBDA(_xlpm.dep_var,_xlpm.indep_var,_xlop.headers, _xlfn.LET(_xlpm.grps, _xlfn._xlws.SORT(_xlfn.UNIQUE(_xlpm.indep_var)), _xlpm.meds, GROUP.MEDIAN(_xlpm.dep_var, _xlpm.indep_var), _xlpm.resp, ABS(_xlpm.dep_var - _xlfn.XLOOKUP(_xlpm.indep_var, _xlpm.grps, _xlpm.meds)), _xlpm.results, ANOVA.TEST(_xlpm.resp, _xlpm.indep_var), IF(OR(_xlfn.ISOMITTED(_xlpm.headers), NOT(_xlpm.headers)), _xlpm.results, _xlfn.VSTACK(_xlfn.HSTACK("W", "df_1", "df_2", "p"), _xlpm.results))))</definedName>
    <definedName name="MARK.INVALID">_xlfn.LAMBDA(_xlpm.vectors,_xlpm.invalid_values, _xlfn.MAP(_xlpm.vectors, _xlfn.LAMBDA(_xlpm.v_i, IF(IFERROR(_xlfn.XMATCH(_xlpm.v_i, _xlpm.invalid_values, 0), 0), #N/A, _xlpm.v_i))))</definedName>
    <definedName name="MATRIX_TO_LONG">_xlfn.LAMBDA(_xlpm.matrix,_xlop.p_headers,_xlop.p_withnames, _xlfn.LET(_xlpm.p_headers, OR(_xlfn.ISOMITTED(_xlpm.p_headers), _xlpm.p_headers), _xlpm.p_withnames, IF(_xlfn.ISOMITTED(_xlpm.p_withnames), {"name";"value"}, _xlpm.p_withnames), _xlpm.b_headers, AND(COLUMNS(_xlpm.p_headers) = 1, ROWS(_xlpm.p_headers) = 1, _xlpm.p_headers), _xlpm.n_cols, COLUMNS(_xlpm.matrix), _xlpm.n_rows, ROWS(_xlpm.matrix) - _xlpm.b_headers, _xlpm.sel_header, _xlfn.IFS(AND(COUNTA(_xlpm.p_headers) = _xlpm.n_cols, COLUMNS(_xlpm.p_headers) = _xlpm.n_cols), _xlpm.p_headers, COUNTA(_xlpm.p_headers) = _xlpm.n_cols, TRANSPOSE(_xlpm.p_headers), _xlpm.b_headers, _xlfn.CHOOSEROWS(_xlpm.matrix, 1), TRUE, _xlfn.SEQUENCE(1, _xlpm.n_cols)), _xlpm.sel_heading, _xlfn.IFS(AND(COUNTA(_xlpm.p_withnames) = 2, ROWS(_xlpm.p_withnames) = 1), _xlpm.p_withnames, COUNTA(_xlpm.p_withnames) = 2, TRANSPOSE(_xlpm.p_withnames), TRUE, FALSE), _xlpm.values, _xlfn.TOCOL(IF(_xlpm.b_headers, _xlfn.CHOOSEROWS(_xlpm.matrix, _xlfn.SEQUENCE(_xlpm.n_rows, 1, 2)), _xlpm.matrix)), _xlpm.idx_n, MOD(_xlfn.SEQUENCE(_xlpm.n_rows * _xlpm.n_cols, 1, 0), _xlpm.n_cols) + 1, _xlpm.names, INDEX(_xlpm.sel_header, 1, _xlpm.idx_n), _xlpm.result, _xlfn.HSTACK(_xlpm.names, _xlpm.values), IF(COLUMNS(_xlpm.sel_heading) = 1, _xlpm.result, _xlfn.VSTACK(_xlpm.sel_heading, _xlpm.result))))</definedName>
    <definedName name="MATRIX.TO.LONG">MATRIX_TO_LONG</definedName>
    <definedName name="MATRIX.ZU.LANGFORM">_xlfn.LAMBDA(_xlpm.matrix,_xlop.p_namen,_xlop.p_ttl, _xlfn.LET(_xlpm.p_ttl, IF(_xlfn.ISOMITTED(_xlpm.p_ttl), {"Name";"Wert"}, _xlpm.p_ttl), MATRIX_TO_LONG(_xlpm.matrix, _xlpm.p_namen, _xlpm.p_ttl)))</definedName>
    <definedName name="MDIM">_xlfn.LAMBDA(_xlpm.matrix, _xlfn.HSTACK(ROWS(_xlpm.matrix), COLUMNS(_xlpm.matrix)))</definedName>
    <definedName name="MDIMENSION">_xlfn.LAMBDA(_xlpm.matrix, MDIM(_xlpm.matrix))</definedName>
    <definedName name="MDREIECK">_xlfn.LAMBDA(_xlpm.grösse,_xlop.ist_unten,_xlop.ohne_diagonale, _xlfn.IFS(AND(_xlfn.ISOMITTED(_xlpm.ist_unten), _xlfn.ISOMITTED(_xlpm.ohne_diagonale)), MTRIANGLE(_xlpm.grösse), _xlfn.ISOMITTED(_xlpm.ist_unten), MTRIANGLE(_xlpm.grösse, , _xlpm.ohne_diagonale), _xlfn.ISOMITTED(_xlpm.ohne_diagonale), MTRIANGLE(_xlpm.grösse, _xlpm.ist_unten), TRUE, MTRIANGLE(_xlpm.grösse, _xlpm.ist_unten, _xlpm.ohne_diagonale)))</definedName>
    <definedName name="MSPUR">_xlfn.LAMBDA(_xlpm.matrix, MTRACE(_xlpm.matrix))</definedName>
    <definedName name="MTRACE">_xlfn.LAMBDA(_xlpm.matrix, IF(ROWS(_xlpm.matrix) = COLUMNS(_xlpm.matrix), _xlfn.LET(_xlpm.index, _xlfn.SEQUENCE(ROWS(_xlpm.matrix)), SUM(INDEX(_xlpm.matrix, _xlpm.index, _xlpm.index))), #VALUE!))</definedName>
    <definedName name="MTRIANGLE">_xlfn.LAMBDA(_xlpm.size,_xlop.p_lower,_xlop.p_strict, _xlfn.LET(_xlpm.b_lower, OR(_xlfn.ISOMITTED(_xlpm.p_lower), _xlpm.p_lower), _xlpm.b_strict, OR(_xlfn.ISOMITTED(_xlpm.p_strict), NOT(_xlpm.p_strict)), IF(AND(COUNT(_xlpm.size) = 1, COUNTA(_xlpm.b_lower) = 1, COUNTA(_xlpm.b_strict) = 1), _xlfn.LET(_xlpm.vector, _xlfn.SEQUENCE(_xlpm.size), _xlpm.tvector, TRANSPOSE(_xlpm.vector), 1 * _xlfn.IFS(AND(_xlpm.b_lower, _xlpm.b_strict), _xlpm.vector &gt; _xlpm.tvector, _xlpm.b_lower, _xlpm.vector &gt;= _xlpm.tvector, _xlpm.b_strict, _xlpm.vector &lt; _xlpm.tvector, TRUE, _xlpm.vector &lt;= _xlpm.tvector)), #VALUE!)))</definedName>
    <definedName name="NORM.TEST">_xlfn.LAMBDA(_xlpm.Vals, CHIQU.FUNC.TEST(_xlpm.Vals, 2, _xlfn.LAMBDA(_xlpm.tVals, _xlfn.NORM.DIST(_xlpm.tVals, AVERAGE(_xlpm.tVals), _xlfn.STDEV.S(_xlpm.tVals), TRUE))))</definedName>
    <definedName name="ONE.HOT">_xlfn.LAMBDA(_xlpm.vektor,_xlop.headings, DUMMY.CODING(_xlpm.vektor, AND(NOT(_xlfn.ISOMITTED(_xlpm.headings)), _xlpm.headings)))</definedName>
    <definedName name="ONE.HOT.CODING">_xlfn.LAMBDA(_xlpm.vektor,_xlop.headings, DUMMY.CODING(_xlpm.vektor, AND(NOT(_xlfn.ISOMITTED(_xlpm.headings)), _xlpm.headings)))</definedName>
    <definedName name="P.ADJ.BONFERRONI">_xlfn.LAMBDA(_xlpm.p_v,_xlpm.m_v, _xlpm.p_v * _xlpm.m_v)</definedName>
    <definedName name="P.ADJ.HOCHBERG">_xlfn.LAMBDA(_xlpm.p_v,_xlpm.m_v, _xlfn.LET(_xlpm.p_s, _xlfn._xlws.SORT(_xlpm.p_v), _xlpm.id_v, _xlfn.SEQUENCE(COUNT(_xlpm.p_v)), _xlpm.id_s, _xlfn.SORTBY(_xlpm.id_v, _xlpm.p_v), _xlpm.p_star, _xlpm.p_s * _xlpm.m_v / (_xlpm.m_v + 1 - _xlpm.id_v), _xlfn.SORTBY(_xlpm.p_star, _xlpm.id_s)))</definedName>
    <definedName name="P.ADJ.HOLM">_xlfn.LAMBDA(_xlpm.p_v,_xlpm.m_v, _xlfn.LET(_xlpm.p_s, _xlfn._xlws.SORT(_xlpm.p_v), _xlpm.id_v, _xlfn.SEQUENCE(COUNT(_xlpm.p_v)), _xlpm.id_s, _xlfn.SORTBY(_xlpm.id_v, _xlpm.p_v), _xlpm.p_star, _xlpm.p_s * (_xlpm.m_v + 1 - _xlpm.id_v), _xlfn.SORTBY(_xlpm.p_star, _xlpm.id_s)))</definedName>
    <definedName name="P.ADJ.HOLM_SIDAK">_xlfn.LAMBDA(_xlpm.p_v,_xlpm.m_v, _xlfn.LET(_xlpm.p_s, _xlfn._xlws.SORT(_xlpm.p_v), _xlpm.id_v, _xlfn.SEQUENCE(COUNT(_xlpm.p_v)), _xlpm.id_s, _xlfn.SORTBY(_xlpm.id_v, _xlpm.p_v), _xlpm.p_star, 1 - (1 - _xlpm.p_s) ^ (_xlpm.m_v + 1 - _xlpm.id_v), _xlfn.SORTBY(_xlpm.p_star, _xlpm.id_s)))</definedName>
    <definedName name="P.ADJ.SIDAK">_xlfn.LAMBDA(_xlpm.p_v,_xlpm.m_v, 1 - (1 - _xlpm.p_v) ^ _xlpm.m_v)</definedName>
    <definedName name="PAARWEISER.AB.TEST">_xlfn.LAMBDA(_xlpm.a_var,_xlpm.ua_var,_xlop.mit_überschrift,_xlop.anpassung, IF(_xlfn.ISOMITTED(_xlpm.anpassung), PAIRWISE.T.TEST(_xlpm.a_var, _xlpm.ua_var, AND(NOT(_xlfn.ISOMITTED(_xlpm.mit_überschrift)), _xlpm.mit_überschrift)), PAIRWISE.T.TEST(_xlpm.a_var, _xlpm.ua_var, AND(NOT(_xlfn.ISOMITTED(_xlpm.mit_überschrift)), _xlpm.mit_überschrift), _xlpm.anpassung)))</definedName>
    <definedName name="PAARWEISER.F.TEST">_xlfn.LAMBDA(_xlpm.a_var,_xlpm.ua_var,_xlop.mit_überschrift,_xlop.anpassung, IF(_xlfn.ISOMITTED(_xlpm.anpassung), PAIRWISE.F.TEST(_xlpm.a_var, _xlpm.ua_var, AND(NOT(_xlfn.ISOMITTED(_xlpm.mit_überschrift)), _xlpm.mit_überschrift)), PAIRWISE.F.TEST(_xlpm.a_var, _xlpm.ua_var, AND(NOT(_xlfn.ISOMITTED(_xlpm.mit_überschrift)), _xlpm.mit_überschrift), _xlpm.anpassung)))</definedName>
    <definedName name="PAARWEISER.T.TEST">_xlfn.LAMBDA(_xlpm.a_var,_xlpm.ua_var,_xlop.mit_überschrift,_xlop.anpassung, IF(_xlfn.ISOMITTED(_xlpm.anpassung), PAIRWISE.T.TEST(_xlpm.a_var, _xlpm.ua_var, AND(NOT(_xlfn.ISOMITTED(_xlpm.mit_überschrift)), _xlpm.mit_überschrift)), PAIRWISE.T.TEST(_xlpm.a_var, _xlpm.ua_var, AND(NOT(_xlfn.ISOMITTED(_xlpm.mit_überschrift)), _xlpm.mit_überschrift), _xlpm.anpassung)))</definedName>
    <definedName name="PAIRWISE.F.TEST">_xlfn.LAMBDA(_xlpm.dep_var,_xlpm.indep_var,_xlop.headers,_xlop.adjustment, _xlfn.LET(_xlpm.n_all, COUNT(_xlpm.dep_var), _xlpm.group_names, _xlfn.UNIQUE(_xlpm.indep_var), _xlpm.k_all, COUNTA(_xlpm.group_names), _xlpm.m_triang, MTRIANGLE(_xlpm.k_all, , 1), _xlpm.group_id, _xlfn.SEQUENCE(_xlpm.k_all), _xlpm.grp_1, _xlfn.TOCOL(_xlpm.m_triang * _xlpm.group_id), _xlpm.grp_2, _xlfn.TOCOL(_xlpm.m_triang * TRANSPOSE(_xlpm.group_id)), _xlpm.g1_id, _xlfn._xlws.FILTER(_xlpm.grp_1, _xlpm.grp_1), _xlpm.g2_id, _xlfn._xlws.FILTER(_xlpm.grp_2, _xlpm.grp_2), _xlpm.g1_names, INDEX(_xlpm.group_names, _xlpm.g1_id), _xlpm.g2_names, INDEX(_xlpm.group_names, _xlpm.g2_id), _xlpm.p_values, _xlfn.MAP(_xlpm.g1_names, _xlpm.g2_names, _xlfn.LAMBDA(_xlpm.a_v,_xlpm.b_v, _xlfn.F.TEST(_xlfn._xlws.FILTER(_xlpm.dep_var, (_xlpm.indep_var = _xlpm.a_v) + (_xlpm.indep_var = _xlpm.b_v)), _xlfn._xlws.FILTER(_xlpm.indep_var, (_xlpm.indep_var = _xlpm.a_v) + (_xlpm.indep_var = _xlpm.b_v))))), _xlpm.p_value_raw, _xlpm.p_values, _xlpm.p_star, 2 * _xlfn.IFS(_xlfn.ISOMITTED(_xlpm.adjustment), P.ADJ.BONFERRONI(_xlpm.p_value_raw, _xlpm.k_all), LOWER(_xlpm.adjustment) = "holm", P.ADJ.HOLM(_xlpm.p_value_raw, _xlpm.k_all), LOWER(_xlpm.adjustment) = "bonferroni", P.ADJ.BONFERRONI(_xlpm.p_value_raw, _xlpm.k_all), LOWER(_xlpm.adjustment) = "hochberg", P.ADJ.HOCHBERG(_xlpm.p_value_raw, _xlpm.k_all), LOWER(_xlpm.adjustment) = "sidak", P.ADJ.SIDAK(_xlpm.p_value_raw, _xlpm.k_all), LOWER(_xlpm.adjustment) = "holmsidak", P.ADJ.HOLM_SIDAK(_xlpm.p_value_raw, _xlpm.k_all), LOWER(_xlpm.adjustment) = "holm-sidak", P.ADJ.HOLM_SIDAK(_xlpm.p_value_raw, _xlpm.k_all), LOWER(_xlpm.adjustment) = "holm_sidak", P.ADJ.HOLM_SIDAK(_xlpm.p_value_raw, _xlpm.k_all), TRUE, _xlpm.p_value_raw), _xlpm.result, _xlfn._xlws.FILTER(_xlfn.HSTACK(_xlpm.g1_names, _xlpm.g2_names, IF(_xlpm.p_star &gt; 1, 1, _xlpm.p_star)), _xlpm.g1_names &lt;&gt; _xlpm.g2_names), IF(OR(_xlfn.ISOMITTED(_xlpm.headers), NOT(_xlpm.headers)), _xlpm.result, _xlfn.VSTACK({"g1";"g2";"p"}, _xlpm.result))))</definedName>
    <definedName name="PAIRWISE.T.TEST">_xlfn.LAMBDA(_xlpm.dep_var,_xlpm.indep_var,_xlop.headers,_xlop.adjustment, _xlfn.LET(_xlpm.n_all, COUNT(_xlpm.dep_var), _xlpm.group_names, _xlfn.UNIQUE(_xlpm.indep_var), _xlpm.k_all, COUNTA(_xlpm.group_names), _xlpm.m_triang, MTRIANGLE(_xlpm.k_all, , 1), _xlpm.group_id, _xlfn.SEQUENCE(_xlpm.k_all), _xlpm.grp_1, _xlfn.TOCOL(_xlpm.m_triang * _xlpm.group_id), _xlpm.grp_2, _xlfn.TOCOL(_xlpm.m_triang * TRANSPOSE(_xlpm.group_id)), _xlpm.g1_id, _xlfn._xlws.FILTER(_xlpm.grp_1, _xlpm.grp_1), _xlpm.g2_id, _xlfn._xlws.FILTER(_xlpm.grp_2, _xlpm.grp_2), _xlpm.g1_names, INDEX(_xlpm.group_names, _xlpm.g1_id), _xlpm.g2_names, INDEX(_xlpm.group_names, _xlpm.g2_id), _xlpm.p_dep_var, _xlfn.MAP(_xlpm.g1_names, _xlpm.g2_names, _xlfn.LAMBDA(_xlpm.a_v,_xlpm.b_v, _xlfn.T.TEST(_xlfn._xlws.FILTER(_xlpm.dep_var, _xlpm.indep_var = _xlpm.a_v), _xlfn._xlws.FILTER(_xlpm.dep_var, _xlpm.indep_var = _xlpm.b_v), 2, 3))), _xlpm.p_value_raw, IF(_xlpm.p_dep_var &gt; 0.5, 1 - _xlpm.p_dep_var, _xlpm.p_dep_var), _xlpm.p_star, 2 * _xlfn.IFS(_xlfn.ISOMITTED(_xlpm.adjustment), P.ADJ.BONFERRONI(_xlpm.p_value_raw, _xlpm.k_all), LOWER(_xlpm.adjustment) = "holm", P.ADJ.HOLM(_xlpm.p_value_raw, _xlpm.k_all), LOWER(_xlpm.adjustment) = "bonferroni", P.ADJ.BONFERRONI(_xlpm.p_value_raw, _xlpm.k_all), LOWER(_xlpm.adjustment) = "hochberg", P.ADJ.HOCHBERG(_xlpm.p_value_raw, _xlpm.k_all), LOWER(_xlpm.adjustment) = "sidak", P.ADJ.SIDAK(_xlpm.p_value_raw, _xlpm.k_all), LOWER(_xlpm.adjustment) = "holmsidak", P.ADJ.HOLM_SIDAK(_xlpm.p_value_raw, _xlpm.k_all), LOWER(_xlpm.adjustment) = "holm-sidak", P.ADJ.HOLM_SIDAK(_xlpm.p_value_raw, _xlpm.k_all), LOWER(_xlpm.adjustment) = "holm_sidak", P.ADJ.HOLM_SIDAK(_xlpm.p_value_raw, _xlpm.k_all), TRUE, _xlpm.p_value_raw), _xlpm.result, _xlfn._xlws.FILTER(_xlfn.HSTACK(_xlpm.g1_names, _xlpm.g2_names, IF(_xlpm.p_star &gt; 1, 1, _xlpm.p_star)), _xlpm.g1_names &lt;&gt; _xlpm.g2_names), IF(OR(_xlfn.ISOMITTED(_xlpm.headers), NOT(_xlpm.headers)), _xlpm.result, _xlfn.VSTACK({"g1";"g2";"p"}, _xlpm.result))))</definedName>
    <definedName name="PQ.RENAME.HELPER">_xlfn.LAMBDA(_xlpm.names,_xlpm.labels, _xlfn.TEXTJOIN(",", , _xlfn.BYROW(_xlfn.MAP(_xlfn.HSTACK(_xlpm.labels, _xlpm.names), _xlfn.LAMBDA(_xlpm.string, """" &amp; _xlpm.string &amp; """")), _xlfn.LAMBDA(_xlpm.row, "{" &amp; _xlfn.TEXTJOIN(",", , _xlpm.row) &amp; "}"))))</definedName>
    <definedName name="PREP.ALTERNATIVE">_xlfn.LAMBDA(_xlpm.alt, _xlfn.XLOOKUP(LEFT(LOWER(_xlpm.alt), 1), {"t";"g";"l";"r";"k";"u";"b";"&lt;";"&gt;"}, {"t";"g";"l";"g";"l";"t";"t";"l";"g"}, #VALUE!))</definedName>
    <definedName name="QQ.DATA">_xlfn.LAMBDA(_xlpm.values,_xlop.with_headers, _xlfn.LET(_xlpm.with_headers, OR(_xlfn.ISOMITTED(_xlpm.with_headers), _xlpm.with_headers), _xlpm.m_w, AVERAGE(_xlpm.values), _xlpm.m_s, _xlfn.STDEV.S(_xlpm.values), _xlpm.rank, (_xlfn.RANK.AVG(_xlpm.values, _xlpm.values, 1) - 0.5) / COUNT(_xlpm.values), _xlpm.results, _xlfn.HSTACK(_xlfn.NORM.S.INV(_xlpm.rank), (_xlpm.values - _xlpm.m_w) / _xlpm.m_s), IF(_xlpm.with_headers, _xlfn.VSTACK(TRANSPOSE({"Theoretisch";"Gemessen"}), _xlpm.results), _xlpm.results)))</definedName>
    <definedName name="QUICK.CODE">_xlfn.LAMBDA(_xlpm.variable,_xlpm.ordered_values, _xlfn.XMATCH(_xlpm.variable, _xlpm.ordered_values))</definedName>
    <definedName name="RANDOM.NORM">_xlfn.LAMBDA(_xlpm.n_values,_xlop.mean,_xlop.sdev, _xlfn.LET(_xlpm.mean, IF(_xlfn.ISOMITTED(_xlpm.mean), 0, _xlpm.mean), _xlpm.sdev, IF(_xlfn.ISOMITTED(_xlpm.sdev), 1, _xlpm.sdev), _xlfn.NORM.INV(_xlfn.RANDARRAY(_xlpm.n_values), _xlpm.mean, _xlpm.sdev)))</definedName>
    <definedName name="REGRESSION">_xlfn.LAMBDA(_xlpm.dep_var,_xlpm.indep_var, _xlfn.LET(_xlpm.KOEFMAT, _xlfn.HSTACK(_xlfn.SEQUENCE(ROWS(_xlpm.dep_var), 1, 1, 0), _xlpm.indep_var), _xlpm.REDDIM, MMULT(TRANSPOSE(_xlpm.KOEFMAT), _xlpm.KOEFMAT), MMULT(MMULT(MINVERSE(_xlpm.REDDIM), TRANSPOSE(_xlpm.KOEFMAT)), _xlpm.dep_var)))</definedName>
    <definedName name="REGRESSION.RESIDUALS">_xlfn.LAMBDA(_xlpm.dep_var,_xlpm.indep_var, _xlfn.LET(_xlpm.KOEF, VREVERSE(TRANSPOSE(LINEST(_xlpm.dep_var, _xlpm.indep_var))), _xlpm.KOEFMAT, _xlfn.HSTACK(_xlfn.SEQUENCE(ROWS(_xlpm.dep_var), 1, 1, 0), _xlpm.indep_var), _xlpm.ESTIMATES, MMULT(_xlpm.KOEFMAT, _xlpm.KOEF), _xlpm.ESTIMATES - _xlpm.dep_var))</definedName>
    <definedName name="REGRESSION.RESIDUEN">_xlfn.LAMBDA(_xlpm.a_var,_xlpm.ua_var, REGRESSION.RESIDUALS(_xlpm.a_var, _xlpm.ua_var))</definedName>
    <definedName name="REGRESSION.STATS">_xlfn.LAMBDA(_xlpm.dep_var,_xlpm.indep_var, _xlfn.LET(_xlpm.R_KOEF, LINEST(_xlpm.dep_var, _xlpm.indep_var, TRUE, TRUE), _xlpm.Func_koef, _xlfn.CHOOSEROWS(_xlpm.R_KOEF, 1), _xlpm.se_koef, _xlfn.CHOOSEROWS(_xlpm.R_KOEF, 2), _xlpm.t_Values, _xlpm.Func_koef / _xlpm.se_koef, _xlpm.f_df, _xlfn.CHOOSEROWS(_xlfn.CHOOSECOLS(_xlpm.R_KOEF, 2), 4), _xlpm.p_Values, _xlfn.T.DIST.2T(ABS(_xlpm.t_Values), _xlpm.f_df), _xlfn.HSTACK(_xlfn.VSTACK("Koef.", "se", "t", "p(|t|)", "r2/rse", "FStat.", "SSres"), _xlfn.VSTACK(VREVERSE(_xlpm.Func_koef), VREVERSE(_xlpm.se_koef), VREVERSE(_xlpm.t_Values), VREVERSE(_xlpm.p_Values), _xlfn.CHOOSEROWS(_xlpm.R_KOEF, 3, 4, 5)))))</definedName>
    <definedName name="REMOVE.INVALID">_xlfn.LAMBDA(_xlpm.vectors,_xlop.extra_values, _xlfn.LET(_xlpm.v_iv, IF(_xlfn.ISOMITTED(_xlpm.extra_values), _xlpm.vectors, MARK.INVALID(_xlpm.vectors, _xlpm.extra_values)), _xlpm.invalid, _xlfn.BYROW(_xlpm.v_iv, _xlfn.LAMBDA(_xlpm.zeile, OR(ISERROR(_xlpm.zeile)))), _xlfn._xlws.FILTER(_xlpm.vectors, NOT(_xlpm.invalid))))</definedName>
    <definedName name="RESIDUALS">_xlfn.LAMBDA(_xlpm.MATRIX_OR_VAR,_xlop.VALUES, _xlfn.LET(_xlpm.REF_VALUES, IF(_xlfn.ISOMITTED(_xlpm.VALUES), _xlfn.CHOOSECOLS(_xlpm.MATRIX_OR_VAR, 2), _xlpm.VALUES), _xlpm.ESTIMATES, _xlfn.CHOOSECOLS(_xlpm.MATRIX_OR_VAR, 1), IF(ROWS(_xlpm.REF_VALUES) &lt;&gt; ROWS(_xlpm.ESTIMATES), #VALUE!, _xlpm.ESTIMATES - _xlpm.REF_VALUES)))</definedName>
    <definedName name="RESIDUEN">_xlfn.LAMBDA(_xlpm.vektor_oder_matrix,_xlop.referenz_vektor, IF(_xlfn.ISOMITTED(_xlpm.referenz_vektor), RESIDUALS(_xlpm.vektor_oder_matrix), RESIDUALS(_xlpm.vektor_oder_matrix, _xlpm.referenz_vektor)))</definedName>
    <definedName name="RGP.RESIDUALS">REGRESSION.RESIDUALS</definedName>
    <definedName name="ROWSUM">_xlfn.LAMBDA(_xlpm.matrix, _xlfn.BYROW(_xlpm.matrix, _xleta.SUM))</definedName>
    <definedName name="SCHEMA.CHOOSE">_xlfn.LAMBDA(_xlpm.data,_xlpm.types,_xlop.type, _xlfn.LET(_xlpm.type, IF(_xlfn.ISOMITTED(_xlpm.type), "m", LEFT(LOWER(_xlpm.type), 1)), _xlpm.types, LEFT(LOWER(_xlpm.types), 1), IF(COLUMNS(_xlpm.data) = 1, TRANSPOSE(_xlfn._xlws.FILTER(_xlpm.data, _xlpm.type = _xlpm.types)), _xlfn.CHOOSECOLS(_xlpm.data, _xlfn._xlws.FILTER(_xlfn.SEQUENCE(COUNTA(_xlpm.types)), _xlpm.type = _xlpm.types)))))</definedName>
    <definedName name="SCHNELL.KODIEREN">_xlfn.LAMBDA(_xlpm.vektor,_xlpm.geordnete_werte, QUICK.CODE(_xlpm.vektor, _xlpm.geordnete_werte))</definedName>
    <definedName name="SEQUENCE.RANGE">_xlfn.LAMBDA(_xlpm.a_v,_xlop.b_or_step,_xlop.step, _xlfn.LET(_xlpm.a_vs, _xlfn.TOCOL(_xlpm.a_v), _xlpm.n_a, COUNT(_xlpm.a_vs), _xlpm.b_v, IF(AND(_xlpm.n_a = 2, _xlfn.ISOMITTED(_xlpm.b_or_step), _xlfn.ISOMITTED(_xlpm.step)), INDEX(_xlpm.a_vs, 2, 1), _xlpm.b_or_step), _xlpm.step, _xlfn.IFS(AND(_xlfn.ISOMITTED(_xlpm.b_or_step), _xlfn.ISOMITTED(_xlpm.step)), 1, AND(_xlpm.n_a = 2, _xlfn.ISOMITTED(_xlpm.b_or_step)), 1, _xlpm.n_a = 2, _xlpm.b_or_step, _xlfn.ISOMITTED(_xlpm.step), 1, TRUE, _xlpm.step), _xlpm.a_v, INDEX(_xlpm.a_vs, 1, 1), _xlpm.s_delta, INT(_xlpm.b_v - _xlpm.a_v) + 1, _xlfn.SEQUENCE(_xlpm.s_delta, 1, _xlpm.a_v, _xlpm.step)))</definedName>
    <definedName name="SEQUENZ.INTERVALL">_xlfn.LAMBDA(_xlpm.wert,_xlop.obere_grenze_oder_schrittweite,_xlop.schrittweite, _xlfn.IFS(AND(_xlfn.ISOMITTED(_xlpm.obere_grenze_oder_schrittweite), _xlfn.ISOMITTED(_xlpm.schrittweite)), SEQUENCE.RANGE(n_werte), _xlfn.ISOMITTED(_xlpm.obere_grenze_oder_schrittweite), SEQUENCE.RANGE(n_werte, , _xlpm.schrittweite), _xlfn.ISOMITTED(_xlpm.schrittweite), SEQUENCE.RANGE(n_werte, _xlpm.obere_grenze_oder_schrittweite), TRUE, SEQUENCE.RANGE(n_werte, _xlpm.obere_grenze_oder_schrittweite, _xlpm.schrittweite)))</definedName>
    <definedName name="SIND.ALLE.GLEICH">_xlfn.LAMBDA(_xlpm.vektor, IS.ALL.EQUAL(_xlpm.vektor))</definedName>
    <definedName name="SPALTENSUMME">_xlfn.LAMBDA(_xlpm.matrix, COLSUM(_xlpm.matrix))</definedName>
    <definedName name="STAT.CORRECT.PVALUE">_xlfn.LAMBDA(_xlpm.p_value,_xlop.alternative, _xlfn.LET(_xlpm.alt, IF(_xlfn.ISOMITTED(_xlpm.alternative), "t", _xlpm.alternative), IFERROR(_xlfn.SWITCH(_xlpm.alt, "l", _xlpm.p_value, "g", 1 - _xlpm.p_value, "t", 2 * MIN(_xlpm.p_value, 1 - _xlpm.p_value), ), #VALUE!)))</definedName>
    <definedName name="STAT.DESCRIBE">_xlfn.LAMBDA(_xlpm.data,_xlop.type,_xlop.names,_xlop.with_labels, _xlfn.LET(_xlpm.type, IF(_xlfn.ISOMITTED(_xlpm.type), "m", LEFT(LOWER(_xlpm.type), 1)), _xlpm.colids, _xlfn.SEQUENCE(COLUMNS(_xlpm.data)), _xlpm.vals, _xlfn.CHOOSEROWS(_xlfn.REDUCE(_xlfn.SEQUENCE(1, IF(_xlpm.type = "o", 5, 8)), _xlpm.colids, _xlfn.LAMBDA(_xlpm.lines,_xlpm.colid, _xlfn.LET(_xlpm.raw_values, _xlfn.CHOOSECOLS(_xlpm.data, _xlpm.colid), _xlpm.values, _xlfn._xlws.FILTER(_xlpm.raw_values, ISNUMBER(_xlpm.raw_values)), _xlpm.cnt_raw, ROWS(_xlpm.raw_values), _xlpm.cnt_values, COUNT(_xlpm.values), _xlpm.basic_stats, _xlfn.HSTACK(MIN(_xlpm.values), MEDIAN(_xlpm.values), MAX(_xlpm.values), STAT.IQR(_xlpm.values), STAT.MAD(_xlpm.values)), _xlpm.sdev, _xlfn.STDEV.S(_xlpm.values), _xlfn.VSTACK(_xlpm.lines, IF(_xlpm.type = "o", _xlfn.HSTACK(_xlpm.cnt_raw, _xlpm.cnt_values, _xlpm.basic_stats), _xlfn.HSTACK(_xlpm.cnt_raw, _xlpm.cnt_values, AVERAGE(_xlpm.values), _xlpm.sdev, _xlpm.sdev / SQRT(_xlpm.cnt_values), _xlpm.basic_stats)))))), _xlpm.colids + 1), _xlpm.full_results, _xlfn.IFS(_xlfn.ISOMITTED(_xlpm.names), _xlfn.HSTACK(_xlpm.colids, _xlpm.vals), ROWS(_xlpm.names) &gt; 1, _xlfn.HSTACK(_xlpm.names, _xlpm.vals), TRUE, _xlfn.HSTACK(TRANSPOSE(_xlpm.names), _xlpm.vals)), IF(OR(_xlfn.ISOMITTED(_xlpm.with_labels), NOT(_xlpm.with_labels)), _xlpm.full_results, _xlfn.VSTACK(STAT.DESCRIBE.LABELS(_xlpm.type), _xlpm.full_results))))</definedName>
    <definedName name="STAT.DESCRIBE.LABELS">_xlfn.LAMBDA(_xlop.type, _xlfn.LET(_xlpm.type, IF(_xlfn.ISOMITTED(_xlpm.type), "m", LEFT(LOWER(_xlpm.type), 1)), _xlpm.labels_base, TRANSPOSE({"id";"n(total)";"n(valid)"}), _xlpm.labels_m, TRANSPOSE({"mean";"stddev";"stderr"}), _xlpm.labels_o, TRANSPOSE({"min";"median";"max";"IQR";"mad"}), IF(_xlpm.type = "o", _xlfn.HSTACK(_xlpm.labels_base, _xlpm.labels_o), _xlfn.HSTACK(_xlpm.labels_base, _xlpm.labels_m, _xlpm.labels_o))))</definedName>
    <definedName name="STAT.DESCRIBE.NOMINAL">_xlfn.LAMBDA(_xlpm.data,_xlop.variable, _xlfn.LET(_xlpm.variable, IF(_xlfn.ISOMITTED(_xlpm.variable), "", _xlpm.variable), _xlfn.VSTACK(_xlfn.HSTACK(_xlpm.variable, "Absolut", "Relativ"), _xlfn.HSTACK(STAT.TABLE(_xlpm.data, TRUE), STAT.TABLE.RELATIVE(_xlpm.data)))))</definedName>
    <definedName name="STAT.DESKRIPTIV">_xlfn.LAMBDA(_xlpm.daten,_xlop.skalenniveau,_xlop.namen,_xlop.mit_üeberschrift, _xlfn.LET(_xlpm.type, IF(_xlfn.ISOMITTED(_xlpm.skalenniveau), "m", _xlpm.skalenniveau), _xlpm.labels, IF(_xlfn.ISOMITTED(mit_überschrift), FALSE, mit_überschrift), IF(_xlfn.ISOMITTED(_xlpm.namen), STAT.DESCRIBE(_xlpm.daten, _xlpm.type, , _xlpm.mit_üeberschrift), STAT.DESCRIBE(_xlpm.daten, _xlpm.type, _xlpm.namen, _xlpm.mit_üeberschrift))))</definedName>
    <definedName name="STAT.DESKRIPTIV.BESCHRIFTUNG">_xlfn.LAMBDA(_xlpm.skalenniveau, IF(_xlfn.ISOMITTED(_xlpm.skalenniveau), STAT.DESCRIBE.LABELS(), STAT.DESCRIBE.LABELS(_xlpm.skalenniveau)))</definedName>
    <definedName name="STAT.DESKRIPTIV.FAKTORSTUFEN">_xlfn.LAMBDA(_xlpm.daten,_xlop.variable, IF(_xlfn.ISOMITTED(_xlpm.variable), STAT.DESCRIBE.NOMINAL(_xlpm.daten), STAT.DESCRIBE.NOMINAL(_xlpm.daten, _xlpm.variable)))</definedName>
    <definedName name="STAT.DESKRIPTIV.MERKMALE">_xlfn.LAMBDA(_xlpm.daten,_xlop.variable, IF(_xlfn.ISOMITTED(_xlpm.variable), STAT.DESCRIBE.NOMINAL(_xlpm.daten), STAT.DESCRIBE.NOMINAL(_xlpm.daten, _xlpm.variable)))</definedName>
    <definedName name="STAT.DESKRIPTIV.NOMINAL">_xlfn.LAMBDA(_xlpm.daten,_xlop.variable, IF(_xlfn.ISOMITTED(_xlpm.variable), STAT.DESCRIBE.NOMINAL(_xlpm.daten), STAT.DESCRIBE.NOMINAL(_xlpm.daten, _xlpm.variable)))</definedName>
    <definedName name="STAT.GEBUNDENE.VARIANZ">_xlfn.LAMBDA(_xlpm.a_var,_xlpm.ua_var, STAT.POOLED.VARIANCE(_xlpm.a_var, _xlpm.ua_var))</definedName>
    <definedName name="STAT.GEPOOLTE.VARIANZ">_xlfn.LAMBDA(_xlpm.a_var,_xlpm.ua_var, STAT.POOLED.VARIANCE(_xlpm.a_var, _xlpm.ua_var))</definedName>
    <definedName name="STAT.IQA">_xlfn.LAMBDA(_xlpm.vektor_oder_matrix, STAT.IQR(_xlpm.vektor_oder_matrix))</definedName>
    <definedName name="STAT.IQR">_xlfn.LAMBDA(_xlpm.vector_or_matrix, SUM(_xlfn.QUARTILE.INC(_xlpm.vector_or_matrix, {3;1}) * {1;-1}))</definedName>
    <definedName name="STAT.MAAD">_xlfn.LAMBDA(_xlpm.vektor_oder_matrix, STAT.MAD(_xlpm.vektor_oder_matrix))</definedName>
    <definedName name="STAT.MAD">_xlfn.LAMBDA(_xlpm.vector_or_matrix, MEDIAN(ABS(_xlpm.vector_or_matrix - MEDIAN(_xlpm.vector_or_matrix))))</definedName>
    <definedName name="STAT.POOLED.VARIANCE">_xlfn.LAMBDA(_xlpm.dep_var,_xlpm.indep_var, _xlfn.LET(_xlpm.n_i, STAT.TABLE(_xlpm.indep_var) - 1, _xlpm.sum_n, SUM(_xlpm.n_i), _xlpm.s_i, GROUP.SD(_xlpm.dep_var, _xlpm.indep_var) ^ 2, SUMPRODUCT(_xlpm.n_i, _xlpm.s_i) / _xlpm.sum_n))</definedName>
    <definedName name="STAT.SE">_xlfn.LAMBDA(_xlpm.values, _xlfn.LET(_xlpm.sdev, _xlfn.STDEV.S(_xlpm.values), _xlpm.cnt_values, COUNT(_xlpm.values), _xlpm.sdev / SQRT(_xlpm.cnt_values)))</definedName>
    <definedName name="STAT.SIGN">_xlfn.LAMBDA(_xlpm.value, -1 * (_xlpm.value &lt; 0) + (_xlpm.value &gt; 0))</definedName>
    <definedName name="STAT.STANDARDFEHLER">_xlfn.LAMBDA(_xlpm.vektor_oder_matrix, STAT.SE(_xlpm.vektor_oder_matrix))</definedName>
    <definedName name="STAT.STD.ERROR">STAT.SE</definedName>
    <definedName name="STAT.STDFEHLER">_xlfn.LAMBDA(_xlpm.vektor_oder_matrix, STAT.SE(_xlpm.vektor_oder_matrix))</definedName>
    <definedName name="STAT.TABELLE">_xlfn.LAMBDA(_xlpm.variable_a,_xlop.variable_b_oder_überschrift,_xlop.mit_überschrift, _xlfn.IFS(AND(_xlfn.ISOMITTED(_xlpm.variable_b_oder_überschrift), _xlfn.ISOMITTED(_xlpm.mit_überschrift)), STAT.TABLE(_xlpm.variable_a), _xlfn.ISOMITTED(_xlpm.variable_b_oder_überschrift), STAT.TABLE(_xlpm.variable_a, , _xlpm.mit_überschrift), TRUE, STAT.TABLE(_xlpm.variable_a, _xlpm.variable_b_oder_überschrift, _xlpm.mit_überschrift)))</definedName>
    <definedName name="STAT.TABELLE.RELATIV">_xlfn.LAMBDA(_xlpm.variable_a,_xlop.variable_b_oder_überschrift,_xlop.mit_überschrift, _xlfn.IFS(AND(_xlfn.ISOMITTED(_xlpm.variable_b_oder_überschrift), _xlfn.ISOMITTED(_xlpm.mit_überschrift)), STAT.TABLE.RELATIVE(_xlpm.variable_a), _xlfn.ISOMITTED(_xlpm.variable_b_oder_überschrift), STAT.TABLE.RELATIVE(_xlpm.variable_a, , _xlpm.mit_überschrift), TRUE, STAT.TABLE.RELATIVE(_xlpm.variable_a, _xlpm.variable_b_oder_überschrift, _xlpm.mit_überschrift)))</definedName>
    <definedName name="STAT.TABLE">_xlfn.LAMBDA(_xlpm.aval,_xlop.bval_or_heading,_xlop.heading, _xlfn.LET(_xlpm.mdim_a, ROWS(_xlpm.aval) - COLUMNS(_xlpm.aval), _xlpm.aval, IF(_xlpm.mdim_a &gt; 0, _xlfn.TOCOL(_xlpm.aval), _xlfn.TOROW(_xlpm.aval)), _xlpm.n_aval, COUNTA(_xlpm.aval), _xlpm.id_aval, _xlfn.UNIQUE(_xlpm.aval), _xlpm.b_p1, _xlfn.IFS(_xlfn.ISOMITTED(_xlpm.bval_or_heading), 0, COUNTA(_xlpm.bval_or_heading) = 1, 1, COUNTA(_xlpm.bval_or_heading) = _xlpm.n_aval, 2, TRUE, 0), _xlpm.heading, _xlfn.IFS(_xlpm.b_p1 = 1, N(_xlpm.bval_or_heading), _xlfn.ISOMITTED(_xlpm.heading), 0, TRUE, N(_xlpm.heading)) &lt;&gt; 0, _xlpm.bval, IF(_xlpm.b_p1 = 2, _xlpm.bval_or_heading, IF(_xlpm.mdim_a &gt; 0, VREPEAT(1, _xlpm.n_aval), HREPEAT(1, _xlpm.n_aval))), _xlpm.id_bval, TRANSPOSE(_xlfn.UNIQUE(_xlpm.bval)), _xlpm.id_avalT, TRANSPOSE(_xlpm.id_aval), _xlpm.results, MMULT(TRANSPOSE((ISERROR(_xlpm.id_avalT) + ISERROR(_xlpm.aval) - ISERROR(_xlpm.aval) * ISERROR(_xlpm.id_avalT)) * IFERROR(ERROR.TYPE(_xlpm.id_avalT) = ERROR.TYPE(_xlpm.aval), 0) + IFERROR(1 * (_xlpm.id_avalT = _xlpm.aval), 0)), (ISERROR(_xlpm.id_bval) + ISERROR(_xlpm.bval) - ISERROR(_xlpm.bval) * ISERROR(_xlpm.id_bval)) * IFERROR(ERROR.TYPE(_xlpm.id_bval) = ERROR.TYPE(_xlpm.bval), 0) + IFERROR(1 * (_xlpm.id_bval = _xlpm.bval), 0)), IF(_xlpm.heading, IF(_xlpm.b_p1 = 2, _xlfn.VSTACK(_xlfn.HSTACK("", _xlpm.id_bval), _xlfn.HSTACK(_xlpm.id_aval, _xlpm.results)), _xlfn.HSTACK(_xlpm.id_aval, _xlpm.results)), _xlpm.results)))</definedName>
    <definedName name="STAT.TABLE.RELATIVE">_xlfn.LAMBDA(_xlpm.aval,_xlop.bval_or_heading,_xlop.heading, _xlfn.LET(_xlpm.b_p1, _xlfn.IFS(_xlfn.ISOMITTED(_xlpm.bval_or_heading), 0, COUNTA(_xlpm.bval_or_heading) = 1, 1, COUNTA(_xlpm.bval_or_heading) = COUNTA(_xlpm.aval), 2, TRUE, 0), _xlpm.heading, _xlfn.IFS(_xlpm.b_p1 = 1, N(_xlpm.bval_or_heading), _xlfn.ISOMITTED(_xlpm.heading), 0, TRUE, N(_xlpm.heading)) &lt;&gt; 0, _xlpm.tab, IF(_xlpm.b_p1 = 2, STAT.TABLE(_xlpm.aval, _xlpm.bval_or_heading), STAT.TABLE(_xlpm.aval)), _xlpm.totals, SUM(_xlpm.tab), _xlpm.results, _xlpm.tab / _xlpm.totals, _xlpm.id_aval, _xlfn.UNIQUE(_xlpm.aval), _xlpm.id_bval, IF(_xlpm.b_p1 = 2, TRANSPOSE(_xlfn.UNIQUE(_xlpm.bval_or_heading)), #N/A), IF(_xlpm.heading, IF(_xlpm.b_p1 = 2, _xlfn.VSTACK(_xlfn.HSTACK("", _xlpm.id_bval), _xlfn.HSTACK(_xlpm.id_aval, _xlpm.results)), _xlfn.HSTACK(_xlpm.id_aval, _xlpm.results)), _xlpm.results)))</definedName>
    <definedName name="STAT.VORZEICHEN">_xlfn.LAMBDA(_xlpm.vektor_oder_matrix, STAT.SIGN(_xlpm.vektor_oder_matrix))</definedName>
    <definedName name="T.TEST.S">_xlfn.LAMBDA(_xlpm.dep_var,_xlpm.indep_var,_xlop.alternative,_xlop.paired, _xlfn.LET(_xlpm.ab_names, _xlfn.UNIQUE(_xlpm.indep_var), _xlpm.paired, IF(_xlfn.ISOMITTED(_xlpm.paired), 3, IF(_xlpm.paired, 1, 3)), _xlpm.alternative, IF(_xlfn.ISOMITTED(_xlpm.alternative), "t", PREP.ALTERNATIVE(_xlpm.alternative)), _xlpm.altV, 1 + (_xlpm.alternative = "t"), _xlpm.altO, _xlpm.alternative = "g", _xlpm.g_1, _xlfn.CHOOSEROWS(_xlpm.ab_names, 1), _xlpm.g_2, _xlfn.CHOOSEROWS(_xlpm.ab_names, 2), _xlpm.p_v, IF(COUNTA(_xlpm.ab_names) = 2, _xlfn.T.TEST(_xlfn._xlws.FILTER(_xlpm.dep_var, _xlpm.indep_var = _xlpm.g_1), _xlfn._xlws.FILTER(_xlpm.dep_var, _xlpm.indep_var = _xlpm.g_2), _xlpm.altV, _xlpm.paired), #VALUE!), _xlpm.mw_1, AVERAGE(_xlfn._xlws.FILTER(_xlpm.dep_var, _xlpm.indep_var = _xlpm.g_1)), _xlpm.mw_2, AVERAGE(_xlfn._xlws.FILTER(_xlpm.dep_var, _xlpm.indep_var = _xlpm.g_2)), _xlfn.HSTACK(IF(OR(AND(_xlpm.altO, _xlpm.mw_1 &lt; _xlpm.mw_2), AND(_xlpm.alternative = "l", _xlpm.mw_1 &gt; _xlpm.mw_2)), 1 - _xlpm.p_v, _xlpm.p_v), _xlfn.TEXTJOIN(_xlfn.SWITCH(_xlpm.alternative, "t", "&lt;&gt;", "l", "&lt;", "g", "&gt;"), , _xlpm.ab_names))))</definedName>
    <definedName name="TABELLEN.AUSWAHL">_xlfn.LAMBDA(_xlpm.tabellen_name,_xlpm.spalten_namen,_xlop.mit_überschrift, TABLE.SELECT(_xlpm.tabellen_name, _xlpm.spalten_namen, AND(NOT(_xlfn.ISOMITTED(_xlpm.mit_überschrift)), _xlpm.mit_überschrift)))</definedName>
    <definedName name="TABLE.SELECT">_xlfn.LAMBDA(_xlpm.tab_name,_xlpm.col_names,_xlop.with_headers, _xlfn.LET(_xlpm.n_rows, ROWS(INDIRECT(_xlpm.tab_name)), _xlpm.col_refs, _xlpm.tab_name &amp; "[" &amp; _xlpm.col_names &amp; "]", _xlpm.no_rows, _xlfn.SEQUENCE(_xlpm.n_rows), _xlpm.no_cols, _xlfn.SEQUENCE(COUNTA(_xlpm.col_names)) + 1, _xlpm.col_headers, IF(ROWS(_xlpm.col_names) &gt; COLUMNS(_xlpm.col_names), TRANSPOSE(_xlpm.col_names), _xlpm.col_names), _xlpm.result, _xlfn.CHOOSECOLS(_xlfn.REDUCE(_xlpm.no_rows, _xlpm.col_refs, _xlfn.LAMBDA(_xlpm.accu,_xlpm.col_ref, _xlfn.HSTACK(_xlpm.accu, _xlfn.LET(_xlpm.values, INDIRECT(_xlpm.col_ref), IF(ISBLANK(_xlpm.values), #N/A, _xlpm.values))))), _xlpm.no_cols), IF(OR(_xlfn.ISOMITTED(_xlpm.with_headers), NOT(_xlpm.with_headers)), _xlpm.result, _xlfn.VSTACK(_xlpm.col_headers, _xlpm.result))))</definedName>
    <definedName name="UNGÜLTIGE.LÖSCHEN">_xlfn.LAMBDA(_xlpm.vektor_oder_matrix,_xlop.ungültige_werte, IF(_xlfn.ISOMITTED(_xlpm.ungültige_werte), REMOVE.INVALID(_xlpm.vektor_oder_matrix), REMOVE.INVALID(_xlpm.vektor_oder_matrix, _xlpm.ungültige_werte)))</definedName>
    <definedName name="UNGÜLTIGE.MARKIEREN">_xlfn.LAMBDA(_xlpm.vektor_oder_matrix,_xlpm.ungültige_werte, MARK.INVALID(_xlpm.vektor_oder_matrix, _xlpm.ungültige_werte))</definedName>
    <definedName name="VEKTOR.LÄNGE">_xlfn.LAMBDA(_xlpm.vektor, VLENGTH(_xlpm.vektor))</definedName>
    <definedName name="VEKTOR.UMKEHREN">VREVERSE</definedName>
    <definedName name="VLENGTH">_xlfn.LAMBDA(_xlpm.vector, _xlfn.LET(_xlpm.cols, COLUMNS(_xlpm.vector), _xlpm.length, IS.VECTOR(_xlpm.vector) * (_xlpm.cols * (_xlpm.cols &lt;&gt; 1) + ROWS(_xlpm.vector) * (_xlpm.cols = 1)), IF(_xlpm.length, _xlpm.length, #VALUE!)))</definedName>
    <definedName name="VREPEAT">_xlfn.LAMBDA(_xlpm.value,_xlpm.n_times, IF(AND(COUNTA(_xlpm.value) = 1, COUNT(_xlpm.n_times) = 1, _xlpm.n_times &gt; 0), IF(ISNUMBER(_xlpm.value) + ISLOGICAL(_xlpm.value), _xlfn.SEQUENCE(_xlpm.n_times, 1, _xlpm.value, 0), IF(_xlfn.SEQUENCE(_xlpm.n_times), _xlpm.value)), #VALUE!))</definedName>
    <definedName name="VREVERSE">_xlfn.LAMBDA(_xlpm.vektor, _xlfn.LET(_xlpm.v_length, VLENGTH(_xlpm.vektor), _xlpm.v_pos, _xlfn.SEQUENCE(_xlpm.v_length, 1, _xlpm.v_length, -1), IF(COLUMNS(_xlpm.vektor) = _xlpm.v_length, _xlfn.CHOOSECOLS(_xlpm.vektor, _xlpm.v_pos), _xlfn.CHOOSEROWS(_xlpm.vektor, _xlpm.v_pos))))</definedName>
    <definedName name="VWIEDERHOLEN">_xlfn.LAMBDA(_xlpm.wert,_xlpm.n_wiederholungen, VREPEAT(_xlpm.wert, _xlpm.n_wiederholungen))</definedName>
    <definedName name="WILCOXON.TEST">_xlfn.LAMBDA(_xlpm.dep_var,_xlpm.indep_var,_xlop.alternative,_xlop.paired,_xlop.correct, _xlfn.LET(_xlpm.alternative, IF(_xlfn.ISOMITTED(_xlpm.alternative), "t", PREP.ALTERNATIVE(_xlpm.alternative)), _xlpm.correct, IF(_xlfn.ISOMITTED(_xlpm.correct), TRUE, _xlpm.correct), _xlpm.paired, IF(_xlfn.ISOMITTED(_xlpm.paired), FALSE, _xlpm.paired), _xlpm.ab_names, _xlfn.UNIQUE(_xlpm.indep_var), _xlpm.ab_n, COUNTA(_xlpm.ab_names), _xlpm.n_ab, GROUP.COUNT(_xlpm.indep_var), IF(AND(_xlpm.ab_n = 2, _xlpm.n_ab &gt; 1, OR(NOT(_xlpm.paired), IS.ALL.EQUAL(_xlpm.n_ab))), _xlfn.LET(_xlpm.rank, _xlfn.RANK.AVG(_xlpm.dep_var, _xlpm.dep_var), _xlpm.STATISTIC, MIN(GROUP.SUM(_xlpm.rank, _xlpm.indep_var) - _xlpm.n_ab * (_xlpm.n_ab + 1) / 2), _xlpm.prod_ab, PRODUCT(_xlpm.n_ab), _xlpm.sum_ab, SUM(_xlpm.n_ab), _xlpm.z_value, _xlpm.STATISTIC - _xlpm.prod_ab / 2, _xlpm.correctTies, (COUNT(_xlfn.UNIQUE(_xlpm.rank)) &lt; COUNT(_xlpm.rank)) * _xlfn.LET(_xlpm.NTIES, STAT.TABLE(_xlpm.rank), SUM(_xlpm.NTIES ^ 3 - _xlpm.NTIES) / (_xlpm.sum_ab * (_xlpm.sum_ab - 1))), _xlpm.SIGMA, SQRT((_xlpm.prod_ab * ((_xlpm.sum_ab + 1) - _xlpm.correctTies)) / 12), _xlpm.correction_value, _xlpm.correct * _xlfn.SWITCH(_xlpm.alternative, "t", STAT.SIGN(_xlpm.z_value) * 0.5, "l", -0.5, "g", 0.5, ), _xlpm.ZVAL, (_xlpm.z_value - _xlpm.correction_value) / _xlpm.SIGMA, _xlpm.PVAL, STAT.CORRECT.PVALUE(_xlfn.NORM.DIST(_xlpm.ZVAL, 0, 1, TRUE)), _xlfn.VSTACK(_xlfn.HSTACK("Statistik", "Z-Wert", "p-Wert", "Alternative"), _xlfn.HSTACK(_xlpm.STATISTIC, _xlpm.ZVAL, _xlpm.PVAL, _xlfn.TEXTJOIN(_xlfn.SWITCH(_xlpm.alternative, "t", "&lt;&gt;", "l", "&lt;", "g", "&gt;"), , _xlpm.ab_names)))), #VALUE!)))</definedName>
    <definedName name="ZEILENSUMME">_xlfn.LAMBDA(_xlpm.matrix, ROWSUM(_xlpm.matrix))</definedName>
    <definedName name="ZUFALLSMATRIX.NORMAL">_xlfn.LAMBDA(_xlpm.n_werte,_xlop.soll_mittelwert,_xlop.soll_standardabweichung, _xlfn.IFS(AND(_xlfn.ISOMITTED(_xlpm.soll_mittelwert), _xlfn.ISOMITTED(_xlpm.soll_standardabweichung)), RANDOM.NORM(_xlpm.n_werte), _xlfn.ISOMITTED(_xlpm.soll_mittelwert), RANDOM.NORM(_xlpm.n_werte, , _xlpm.soll_standardabweichung), _xlfn.ISOMITTED(_xlpm.soll_standardabweichung), RANDOM.NORM(_xlpm.n_werte, _xlpm.soll_mittelwert), TRUE, RANDOM.NORM(_xlpm.n_werte, _xlpm.soll_mittelwert, _xlpm.soll_standardabweichung)))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M7" i="3"/>
  <c r="M8" i="3"/>
  <c r="M9" i="3"/>
  <c r="A3" i="5" a="1"/>
  <c r="A3" i="5" s="1"/>
  <c r="A1" i="5" a="1"/>
  <c r="A1" i="5" s="1"/>
  <c r="A1" i="3" a="1"/>
  <c r="A1" i="3" s="1"/>
  <c r="A2" i="3" a="1"/>
  <c r="A2" i="3" s="1"/>
  <c r="D2" i="4" a="1"/>
  <c r="D2" i="4" s="1"/>
  <c r="D1" i="3"/>
  <c r="I2" i="3"/>
  <c r="D2" i="3" l="1" a="1"/>
  <c r="D2" i="3" s="1"/>
  <c r="H2" i="3" l="1" a="1"/>
  <c r="G2" i="3" a="1"/>
  <c r="G2" i="3" s="1"/>
  <c r="M2" i="3" s="1" a="1"/>
  <c r="H2" i="3"/>
  <c r="K2" i="3" l="1" a="1"/>
  <c r="K2" i="3" s="1"/>
  <c r="M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6D748-D333-D941-BE24-812CA2054E20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<sst xmlns="http://schemas.openxmlformats.org/spreadsheetml/2006/main" count="13" uniqueCount="13">
  <si>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Alt</t>
  </si>
  <si>
    <t>Neu</t>
  </si>
  <si>
    <t>Anlage</t>
  </si>
  <si>
    <t>Temp</t>
  </si>
  <si>
    <t>2σ</t>
  </si>
  <si>
    <t>3σ</t>
  </si>
  <si>
    <t>4σ</t>
  </si>
  <si>
    <t>*</t>
  </si>
  <si>
    <t>**</t>
  </si>
  <si>
    <t>***</t>
  </si>
  <si>
    <t>v</t>
  </si>
  <si>
    <t>Konfidenzintervall</t>
  </si>
  <si>
    <t>Signifikanzniveau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</si>
</sst>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2" fontId="0" fillId="0" borderId="0" xfId="0" applyNumberFormat="1"/>
    <xf numFmtId="9" fontId="1" fillId="0" borderId="0" xfId="0" applyNumberFormat="1" applyFont="1"/>
    <xf numFmtId="2" fontId="1" fillId="0" borderId="0" xfId="0" applyNumberFormat="1" applyFont="1"/>
    <xf numFmtId="10" fontId="1" fillId="0" borderId="0" xfId="0" applyNumberFormat="1" applyFont="1"/>
    <xf numFmtId="167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FF5A617-1C9E-BF41-853A-90ED87B541BF}" autoFormatId="16" applyNumberFormats="0" applyBorderFormats="0" applyFontFormats="0" applyPatternFormats="0" applyAlignmentFormats="0" applyWidthHeightFormats="0">
  <queryTableRefresh nextId="3">
    <queryTableFields count="2">
      <queryTableField id="1" name="Alt" tableColumnId="1"/>
      <queryTableField id="2" name="Neu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AB9E3-8B6D-8449-8DBF-66F2BF9D1A8D}" name="Tabelle1" displayName="Tabelle1" ref="A1:B21" tableType="queryTable" totalsRowShown="0">
  <autoFilter ref="A1:B21" xr:uid="{840AB9E3-8B6D-8449-8DBF-66F2BF9D1A8D}"/>
  <tableColumns count="2">
    <tableColumn id="1" xr3:uid="{279B529C-9C36-F24D-9E0B-6D9C0F1E7B7D}" uniqueName="1" name="Alt" queryTableFieldId="1"/>
    <tableColumn id="2" xr3:uid="{86556785-8FA6-6C4F-884B-8192A654B96E}" uniqueName="2" name="Neu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541058-BD53-1C4B-83B2-4EF0CAAF83B3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3E6A4668-80C8-C641-B422-6ED5D0FC0572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E313-F1B1-1A46-B5D9-4CFA198CA8D3}">
  <dimension ref="A1:N21"/>
  <sheetViews>
    <sheetView topLeftCell="C1" zoomScale="269" zoomScaleNormal="269" workbookViewId="0">
      <selection activeCell="G3" sqref="G3:G4"/>
    </sheetView>
  </sheetViews>
  <sheetFormatPr baseColWidth="10" defaultRowHeight="16" x14ac:dyDescent="0.2"/>
  <cols>
    <col min="1" max="1" width="6.1640625" bestFit="1" customWidth="1"/>
    <col min="2" max="2" width="7" bestFit="1" customWidth="1"/>
  </cols>
  <sheetData>
    <row r="1" spans="1:14" x14ac:dyDescent="0.2">
      <c r="A1" t="s">
        <v>0</v>
      </c>
      <c r="B1" t="s">
        <v>1</v>
      </c>
    </row>
    <row r="2" spans="1:14" x14ac:dyDescent="0.2">
      <c r="A2">
        <v>24.37</v>
      </c>
      <c r="B2">
        <v>22.11</v>
      </c>
      <c r="D2" t="str" cm="1">
        <f t="array" ref="D2:N4">STAT.DESKRIPTIV(Tabelle1[],"m",Tabelle1[#Headers],TRUE)</f>
        <v>id</v>
      </c>
      <c r="E2" t="str">
        <v>n(total)</v>
      </c>
      <c r="F2" t="str">
        <v>n(valid)</v>
      </c>
      <c r="G2" t="str">
        <v>mean</v>
      </c>
      <c r="H2" t="str">
        <v>stddev</v>
      </c>
      <c r="I2" t="str">
        <v>stderr</v>
      </c>
      <c r="J2" t="str">
        <v>min</v>
      </c>
      <c r="K2" t="str">
        <v>median</v>
      </c>
      <c r="L2" t="str">
        <v>max</v>
      </c>
      <c r="M2" t="str">
        <v>IQR</v>
      </c>
      <c r="N2" t="str">
        <v>mad</v>
      </c>
    </row>
    <row r="3" spans="1:14" x14ac:dyDescent="0.2">
      <c r="A3">
        <v>23.98</v>
      </c>
      <c r="B3">
        <v>21.74</v>
      </c>
      <c r="D3" t="str">
        <v>Alt</v>
      </c>
      <c r="E3">
        <v>20</v>
      </c>
      <c r="F3">
        <v>20</v>
      </c>
      <c r="G3">
        <v>21.825000000000003</v>
      </c>
      <c r="H3">
        <v>1.7733064567281325</v>
      </c>
      <c r="I3">
        <v>0.39652337821833933</v>
      </c>
      <c r="J3">
        <v>18.87</v>
      </c>
      <c r="K3">
        <v>21.990000000000002</v>
      </c>
      <c r="L3">
        <v>24.37</v>
      </c>
      <c r="M3">
        <v>3.2774999999999999</v>
      </c>
      <c r="N3">
        <v>1.5950000000000024</v>
      </c>
    </row>
    <row r="4" spans="1:14" x14ac:dyDescent="0.2">
      <c r="A4">
        <v>20.43</v>
      </c>
      <c r="B4">
        <v>22.11</v>
      </c>
      <c r="D4" t="str">
        <v>Neu</v>
      </c>
      <c r="E4">
        <v>20</v>
      </c>
      <c r="F4">
        <v>20</v>
      </c>
      <c r="G4">
        <v>21.904499999999999</v>
      </c>
      <c r="H4">
        <v>0.71648612577010362</v>
      </c>
      <c r="I4">
        <v>0.16021116821574155</v>
      </c>
      <c r="J4">
        <v>20.85</v>
      </c>
      <c r="K4">
        <v>21.94</v>
      </c>
      <c r="L4">
        <v>23.53</v>
      </c>
      <c r="M4">
        <v>0.61499999999999844</v>
      </c>
      <c r="N4">
        <v>0.24499999999999922</v>
      </c>
    </row>
    <row r="5" spans="1:14" x14ac:dyDescent="0.2">
      <c r="A5">
        <v>23.15</v>
      </c>
      <c r="B5">
        <v>22.16</v>
      </c>
    </row>
    <row r="6" spans="1:14" x14ac:dyDescent="0.2">
      <c r="A6">
        <v>19.809999999999999</v>
      </c>
      <c r="B6">
        <v>21.18</v>
      </c>
    </row>
    <row r="7" spans="1:14" x14ac:dyDescent="0.2">
      <c r="A7">
        <v>21.39</v>
      </c>
      <c r="B7">
        <v>20.89</v>
      </c>
    </row>
    <row r="8" spans="1:14" x14ac:dyDescent="0.2">
      <c r="A8">
        <v>19.46</v>
      </c>
      <c r="B8">
        <v>20.85</v>
      </c>
    </row>
    <row r="9" spans="1:14" x14ac:dyDescent="0.2">
      <c r="A9">
        <v>22.78</v>
      </c>
      <c r="B9">
        <v>22.21</v>
      </c>
    </row>
    <row r="10" spans="1:14" x14ac:dyDescent="0.2">
      <c r="A10">
        <v>22.74</v>
      </c>
      <c r="B10">
        <v>20.89</v>
      </c>
    </row>
    <row r="11" spans="1:14" x14ac:dyDescent="0.2">
      <c r="A11">
        <v>22.18</v>
      </c>
      <c r="B11">
        <v>21.85</v>
      </c>
    </row>
    <row r="12" spans="1:14" x14ac:dyDescent="0.2">
      <c r="A12">
        <v>21.01</v>
      </c>
      <c r="B12">
        <v>21.26</v>
      </c>
    </row>
    <row r="13" spans="1:14" x14ac:dyDescent="0.2">
      <c r="A13">
        <v>19.91</v>
      </c>
      <c r="B13">
        <v>23.53</v>
      </c>
    </row>
    <row r="14" spans="1:14" x14ac:dyDescent="0.2">
      <c r="A14">
        <v>23.69</v>
      </c>
      <c r="B14">
        <v>22.04</v>
      </c>
    </row>
    <row r="15" spans="1:14" x14ac:dyDescent="0.2">
      <c r="A15">
        <v>23.84</v>
      </c>
      <c r="B15">
        <v>22.01</v>
      </c>
    </row>
    <row r="16" spans="1:14" x14ac:dyDescent="0.2">
      <c r="A16">
        <v>18.87</v>
      </c>
      <c r="B16">
        <v>21.87</v>
      </c>
    </row>
    <row r="17" spans="1:2" x14ac:dyDescent="0.2">
      <c r="A17">
        <v>23.54</v>
      </c>
      <c r="B17">
        <v>21.59</v>
      </c>
    </row>
    <row r="18" spans="1:2" x14ac:dyDescent="0.2">
      <c r="A18">
        <v>21.8</v>
      </c>
      <c r="B18">
        <v>22.42</v>
      </c>
    </row>
    <row r="19" spans="1:2" x14ac:dyDescent="0.2">
      <c r="A19">
        <v>20.36</v>
      </c>
      <c r="B19">
        <v>21.87</v>
      </c>
    </row>
    <row r="20" spans="1:2" x14ac:dyDescent="0.2">
      <c r="A20">
        <v>19.670000000000002</v>
      </c>
      <c r="B20">
        <v>23.42</v>
      </c>
    </row>
    <row r="21" spans="1:2" x14ac:dyDescent="0.2">
      <c r="A21">
        <v>23.52</v>
      </c>
      <c r="B21">
        <v>22.09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4D61-8FA3-DA44-935D-CCF5354F4483}">
  <dimension ref="A1:N41"/>
  <sheetViews>
    <sheetView tabSelected="1" topLeftCell="H1" zoomScale="215" zoomScaleNormal="215" workbookViewId="0">
      <selection activeCell="K6" sqref="K6"/>
    </sheetView>
  </sheetViews>
  <sheetFormatPr baseColWidth="10" defaultRowHeight="16" x14ac:dyDescent="0.2"/>
  <cols>
    <col min="6" max="6" width="14.6640625" customWidth="1"/>
    <col min="12" max="12" width="15.6640625" bestFit="1" customWidth="1"/>
    <col min="14" max="14" width="13.1640625" customWidth="1"/>
  </cols>
  <sheetData>
    <row r="1" spans="1:14" x14ac:dyDescent="0.2">
      <c r="A1" t="str" cm="1">
        <f t="array" ref="A1:B1">Tabelle1[#Headers]</f>
        <v>Alt</v>
      </c>
      <c r="B1" t="str">
        <v>Neu</v>
      </c>
      <c r="D1" t="str">
        <f ca="1">_xlfn.FORMULATEXT(D2)</f>
        <v>=MATRIX.ZU.LANGFORM(A2#;A1#;WAHR)</v>
      </c>
      <c r="G1" t="s">
        <v>2</v>
      </c>
      <c r="H1" t="s">
        <v>3</v>
      </c>
    </row>
    <row r="2" spans="1:14" x14ac:dyDescent="0.2">
      <c r="A2" cm="1">
        <f t="array" ref="A2:B21">Tabelle1[]</f>
        <v>24.37</v>
      </c>
      <c r="B2">
        <v>22.11</v>
      </c>
      <c r="D2" cm="1">
        <f t="array" ref="D2:E41">MATRIX.ZU.LANGFORM(_xlfn.ANCHORARRAY(A2),_xlfn.ANCHORARRAY(A1),TRUE)</f>
        <v>1</v>
      </c>
      <c r="E2">
        <v>24.37</v>
      </c>
      <c r="G2" cm="1">
        <f t="array" ref="G2:G41">_xlfn.CHOOSECOLS(_xlfn.ANCHORARRAY($D$2),1)</f>
        <v>1</v>
      </c>
      <c r="H2" cm="1">
        <f t="array" ref="H2:H41">_xlfn.CHOOSECOLS(_xlfn.ANCHORARRAY($D$2),2)</f>
        <v>24.37</v>
      </c>
      <c r="I2" t="str">
        <f ca="1">_xlfn.FORMULATEXT(H2)</f>
        <v>=SPALTENWAHL($D$2#;2)</v>
      </c>
      <c r="K2" cm="1">
        <f t="array" ref="K2:K3">_xlfn.UNIQUE(_xlfn.ANCHORARRAY(G2))</f>
        <v>1</v>
      </c>
      <c r="M2" t="str" cm="1">
        <f t="array" ref="M2:M3">F.TEST.S(_xlfn.ANCHORARRAY(H2),_xlfn.ANCHORARRAY(G2),TRUE)</f>
        <v>p</v>
      </c>
    </row>
    <row r="3" spans="1:14" x14ac:dyDescent="0.2">
      <c r="A3">
        <v>23.98</v>
      </c>
      <c r="B3">
        <v>21.74</v>
      </c>
      <c r="D3">
        <v>2</v>
      </c>
      <c r="E3">
        <v>22.11</v>
      </c>
      <c r="G3">
        <v>2</v>
      </c>
      <c r="H3">
        <v>22.11</v>
      </c>
      <c r="K3">
        <v>2</v>
      </c>
      <c r="M3">
        <v>2.3775427974570708E-4</v>
      </c>
      <c r="N3" t="str">
        <f>_xlfn.XLOOKUP(M3,M7:M9,N7:N9,"nicht signifikant",1)</f>
        <v>**</v>
      </c>
    </row>
    <row r="4" spans="1:14" x14ac:dyDescent="0.2">
      <c r="A4">
        <v>20.43</v>
      </c>
      <c r="B4">
        <v>22.11</v>
      </c>
      <c r="D4">
        <v>1</v>
      </c>
      <c r="E4">
        <v>23.98</v>
      </c>
      <c r="G4">
        <v>1</v>
      </c>
      <c r="H4">
        <v>23.98</v>
      </c>
    </row>
    <row r="5" spans="1:14" x14ac:dyDescent="0.2">
      <c r="A5">
        <v>23.15</v>
      </c>
      <c r="B5">
        <v>22.16</v>
      </c>
      <c r="D5">
        <v>2</v>
      </c>
      <c r="E5">
        <v>21.74</v>
      </c>
      <c r="G5">
        <v>2</v>
      </c>
      <c r="H5">
        <v>21.74</v>
      </c>
      <c r="L5" t="s">
        <v>11</v>
      </c>
      <c r="M5" t="s">
        <v>12</v>
      </c>
    </row>
    <row r="6" spans="1:14" x14ac:dyDescent="0.2">
      <c r="A6">
        <v>19.809999999999999</v>
      </c>
      <c r="B6">
        <v>21.18</v>
      </c>
      <c r="D6">
        <v>1</v>
      </c>
      <c r="E6">
        <v>20.43</v>
      </c>
      <c r="G6">
        <v>1</v>
      </c>
      <c r="H6">
        <v>20.43</v>
      </c>
      <c r="L6" s="1">
        <v>0.9</v>
      </c>
      <c r="M6" s="2">
        <v>0.1</v>
      </c>
    </row>
    <row r="7" spans="1:14" x14ac:dyDescent="0.2">
      <c r="A7">
        <v>21.39</v>
      </c>
      <c r="B7">
        <v>20.89</v>
      </c>
      <c r="D7">
        <v>2</v>
      </c>
      <c r="E7">
        <v>22.11</v>
      </c>
      <c r="G7">
        <v>2</v>
      </c>
      <c r="H7">
        <v>22.11</v>
      </c>
      <c r="K7" t="s">
        <v>4</v>
      </c>
      <c r="L7" s="3">
        <v>0.95</v>
      </c>
      <c r="M7" s="4">
        <f>1-L7</f>
        <v>5.0000000000000044E-2</v>
      </c>
      <c r="N7" t="s">
        <v>7</v>
      </c>
    </row>
    <row r="8" spans="1:14" x14ac:dyDescent="0.2">
      <c r="A8">
        <v>19.46</v>
      </c>
      <c r="B8">
        <v>20.85</v>
      </c>
      <c r="D8">
        <v>1</v>
      </c>
      <c r="E8">
        <v>23.15</v>
      </c>
      <c r="G8">
        <v>1</v>
      </c>
      <c r="H8">
        <v>23.15</v>
      </c>
      <c r="K8" t="s">
        <v>5</v>
      </c>
      <c r="L8" s="3">
        <v>0.99</v>
      </c>
      <c r="M8" s="4">
        <f>1-L8</f>
        <v>1.0000000000000009E-2</v>
      </c>
      <c r="N8" t="s">
        <v>8</v>
      </c>
    </row>
    <row r="9" spans="1:14" x14ac:dyDescent="0.2">
      <c r="A9">
        <v>22.78</v>
      </c>
      <c r="B9">
        <v>22.21</v>
      </c>
      <c r="D9">
        <v>2</v>
      </c>
      <c r="E9">
        <v>22.16</v>
      </c>
      <c r="G9">
        <v>2</v>
      </c>
      <c r="H9">
        <v>22.16</v>
      </c>
      <c r="K9" t="s">
        <v>6</v>
      </c>
      <c r="L9" s="5">
        <v>0.99990000000000001</v>
      </c>
      <c r="M9" s="6">
        <f>1-L9</f>
        <v>9.9999999999988987E-5</v>
      </c>
      <c r="N9" t="s">
        <v>9</v>
      </c>
    </row>
    <row r="10" spans="1:14" x14ac:dyDescent="0.2">
      <c r="A10">
        <v>22.74</v>
      </c>
      <c r="B10">
        <v>20.89</v>
      </c>
      <c r="D10">
        <v>1</v>
      </c>
      <c r="E10">
        <v>19.809999999999999</v>
      </c>
      <c r="G10">
        <v>1</v>
      </c>
      <c r="H10">
        <v>19.809999999999999</v>
      </c>
    </row>
    <row r="11" spans="1:14" x14ac:dyDescent="0.2">
      <c r="A11">
        <v>22.18</v>
      </c>
      <c r="B11">
        <v>21.85</v>
      </c>
      <c r="D11">
        <v>2</v>
      </c>
      <c r="E11">
        <v>21.18</v>
      </c>
      <c r="G11">
        <v>2</v>
      </c>
      <c r="H11">
        <v>21.18</v>
      </c>
    </row>
    <row r="12" spans="1:14" x14ac:dyDescent="0.2">
      <c r="A12">
        <v>21.01</v>
      </c>
      <c r="B12">
        <v>21.26</v>
      </c>
      <c r="D12">
        <v>1</v>
      </c>
      <c r="E12">
        <v>21.39</v>
      </c>
      <c r="G12">
        <v>1</v>
      </c>
      <c r="H12">
        <v>21.39</v>
      </c>
    </row>
    <row r="13" spans="1:14" x14ac:dyDescent="0.2">
      <c r="A13">
        <v>19.91</v>
      </c>
      <c r="B13">
        <v>23.53</v>
      </c>
      <c r="D13">
        <v>2</v>
      </c>
      <c r="E13">
        <v>20.89</v>
      </c>
      <c r="G13">
        <v>2</v>
      </c>
      <c r="H13">
        <v>20.89</v>
      </c>
    </row>
    <row r="14" spans="1:14" x14ac:dyDescent="0.2">
      <c r="A14">
        <v>23.69</v>
      </c>
      <c r="B14">
        <v>22.04</v>
      </c>
      <c r="D14">
        <v>1</v>
      </c>
      <c r="E14">
        <v>19.46</v>
      </c>
      <c r="G14">
        <v>1</v>
      </c>
      <c r="H14">
        <v>19.46</v>
      </c>
    </row>
    <row r="15" spans="1:14" x14ac:dyDescent="0.2">
      <c r="A15">
        <v>23.84</v>
      </c>
      <c r="B15">
        <v>22.01</v>
      </c>
      <c r="D15">
        <v>2</v>
      </c>
      <c r="E15">
        <v>20.85</v>
      </c>
      <c r="G15">
        <v>2</v>
      </c>
      <c r="H15">
        <v>20.85</v>
      </c>
    </row>
    <row r="16" spans="1:14" x14ac:dyDescent="0.2">
      <c r="A16">
        <v>18.87</v>
      </c>
      <c r="B16">
        <v>21.87</v>
      </c>
      <c r="D16">
        <v>1</v>
      </c>
      <c r="E16">
        <v>22.78</v>
      </c>
      <c r="G16">
        <v>1</v>
      </c>
      <c r="H16">
        <v>22.78</v>
      </c>
    </row>
    <row r="17" spans="1:8" x14ac:dyDescent="0.2">
      <c r="A17">
        <v>23.54</v>
      </c>
      <c r="B17">
        <v>21.59</v>
      </c>
      <c r="D17">
        <v>2</v>
      </c>
      <c r="E17">
        <v>22.21</v>
      </c>
      <c r="G17">
        <v>2</v>
      </c>
      <c r="H17">
        <v>22.21</v>
      </c>
    </row>
    <row r="18" spans="1:8" x14ac:dyDescent="0.2">
      <c r="A18">
        <v>21.8</v>
      </c>
      <c r="B18">
        <v>22.42</v>
      </c>
      <c r="D18">
        <v>1</v>
      </c>
      <c r="E18">
        <v>22.74</v>
      </c>
      <c r="G18">
        <v>1</v>
      </c>
      <c r="H18">
        <v>22.74</v>
      </c>
    </row>
    <row r="19" spans="1:8" x14ac:dyDescent="0.2">
      <c r="A19">
        <v>20.36</v>
      </c>
      <c r="B19">
        <v>21.87</v>
      </c>
      <c r="D19">
        <v>2</v>
      </c>
      <c r="E19">
        <v>20.89</v>
      </c>
      <c r="G19">
        <v>2</v>
      </c>
      <c r="H19">
        <v>20.89</v>
      </c>
    </row>
    <row r="20" spans="1:8" x14ac:dyDescent="0.2">
      <c r="A20">
        <v>19.670000000000002</v>
      </c>
      <c r="B20">
        <v>23.42</v>
      </c>
      <c r="D20">
        <v>1</v>
      </c>
      <c r="E20">
        <v>22.18</v>
      </c>
      <c r="G20">
        <v>1</v>
      </c>
      <c r="H20">
        <v>22.18</v>
      </c>
    </row>
    <row r="21" spans="1:8" x14ac:dyDescent="0.2">
      <c r="A21">
        <v>23.52</v>
      </c>
      <c r="B21">
        <v>22.09</v>
      </c>
      <c r="D21">
        <v>2</v>
      </c>
      <c r="E21">
        <v>21.85</v>
      </c>
      <c r="G21">
        <v>2</v>
      </c>
      <c r="H21">
        <v>21.85</v>
      </c>
    </row>
    <row r="22" spans="1:8" x14ac:dyDescent="0.2">
      <c r="D22">
        <v>1</v>
      </c>
      <c r="E22">
        <v>21.01</v>
      </c>
      <c r="G22">
        <v>1</v>
      </c>
      <c r="H22">
        <v>21.01</v>
      </c>
    </row>
    <row r="23" spans="1:8" x14ac:dyDescent="0.2">
      <c r="D23">
        <v>2</v>
      </c>
      <c r="E23">
        <v>21.26</v>
      </c>
      <c r="G23">
        <v>2</v>
      </c>
      <c r="H23">
        <v>21.26</v>
      </c>
    </row>
    <row r="24" spans="1:8" x14ac:dyDescent="0.2">
      <c r="D24">
        <v>1</v>
      </c>
      <c r="E24">
        <v>19.91</v>
      </c>
      <c r="G24">
        <v>1</v>
      </c>
      <c r="H24">
        <v>19.91</v>
      </c>
    </row>
    <row r="25" spans="1:8" x14ac:dyDescent="0.2">
      <c r="D25">
        <v>2</v>
      </c>
      <c r="E25">
        <v>23.53</v>
      </c>
      <c r="G25">
        <v>2</v>
      </c>
      <c r="H25">
        <v>23.53</v>
      </c>
    </row>
    <row r="26" spans="1:8" x14ac:dyDescent="0.2">
      <c r="D26">
        <v>1</v>
      </c>
      <c r="E26">
        <v>23.69</v>
      </c>
      <c r="G26">
        <v>1</v>
      </c>
      <c r="H26">
        <v>23.69</v>
      </c>
    </row>
    <row r="27" spans="1:8" x14ac:dyDescent="0.2">
      <c r="D27">
        <v>2</v>
      </c>
      <c r="E27">
        <v>22.04</v>
      </c>
      <c r="G27">
        <v>2</v>
      </c>
      <c r="H27">
        <v>22.04</v>
      </c>
    </row>
    <row r="28" spans="1:8" x14ac:dyDescent="0.2">
      <c r="D28">
        <v>1</v>
      </c>
      <c r="E28">
        <v>23.84</v>
      </c>
      <c r="G28">
        <v>1</v>
      </c>
      <c r="H28">
        <v>23.84</v>
      </c>
    </row>
    <row r="29" spans="1:8" x14ac:dyDescent="0.2">
      <c r="D29">
        <v>2</v>
      </c>
      <c r="E29">
        <v>22.01</v>
      </c>
      <c r="G29">
        <v>2</v>
      </c>
      <c r="H29">
        <v>22.01</v>
      </c>
    </row>
    <row r="30" spans="1:8" x14ac:dyDescent="0.2">
      <c r="D30">
        <v>1</v>
      </c>
      <c r="E30">
        <v>18.87</v>
      </c>
      <c r="G30">
        <v>1</v>
      </c>
      <c r="H30">
        <v>18.87</v>
      </c>
    </row>
    <row r="31" spans="1:8" x14ac:dyDescent="0.2">
      <c r="D31">
        <v>2</v>
      </c>
      <c r="E31">
        <v>21.87</v>
      </c>
      <c r="G31">
        <v>2</v>
      </c>
      <c r="H31">
        <v>21.87</v>
      </c>
    </row>
    <row r="32" spans="1:8" x14ac:dyDescent="0.2">
      <c r="D32">
        <v>1</v>
      </c>
      <c r="E32">
        <v>23.54</v>
      </c>
      <c r="G32">
        <v>1</v>
      </c>
      <c r="H32">
        <v>23.54</v>
      </c>
    </row>
    <row r="33" spans="4:8" x14ac:dyDescent="0.2">
      <c r="D33">
        <v>2</v>
      </c>
      <c r="E33">
        <v>21.59</v>
      </c>
      <c r="G33">
        <v>2</v>
      </c>
      <c r="H33">
        <v>21.59</v>
      </c>
    </row>
    <row r="34" spans="4:8" x14ac:dyDescent="0.2">
      <c r="D34">
        <v>1</v>
      </c>
      <c r="E34">
        <v>21.8</v>
      </c>
      <c r="G34">
        <v>1</v>
      </c>
      <c r="H34">
        <v>21.8</v>
      </c>
    </row>
    <row r="35" spans="4:8" x14ac:dyDescent="0.2">
      <c r="D35">
        <v>2</v>
      </c>
      <c r="E35">
        <v>22.42</v>
      </c>
      <c r="G35">
        <v>2</v>
      </c>
      <c r="H35">
        <v>22.42</v>
      </c>
    </row>
    <row r="36" spans="4:8" x14ac:dyDescent="0.2">
      <c r="D36">
        <v>1</v>
      </c>
      <c r="E36">
        <v>20.36</v>
      </c>
      <c r="G36">
        <v>1</v>
      </c>
      <c r="H36">
        <v>20.36</v>
      </c>
    </row>
    <row r="37" spans="4:8" x14ac:dyDescent="0.2">
      <c r="D37">
        <v>2</v>
      </c>
      <c r="E37">
        <v>21.87</v>
      </c>
      <c r="G37">
        <v>2</v>
      </c>
      <c r="H37">
        <v>21.87</v>
      </c>
    </row>
    <row r="38" spans="4:8" x14ac:dyDescent="0.2">
      <c r="D38">
        <v>1</v>
      </c>
      <c r="E38">
        <v>19.670000000000002</v>
      </c>
      <c r="G38">
        <v>1</v>
      </c>
      <c r="H38">
        <v>19.670000000000002</v>
      </c>
    </row>
    <row r="39" spans="4:8" x14ac:dyDescent="0.2">
      <c r="D39">
        <v>2</v>
      </c>
      <c r="E39">
        <v>23.42</v>
      </c>
      <c r="G39">
        <v>2</v>
      </c>
      <c r="H39">
        <v>23.42</v>
      </c>
    </row>
    <row r="40" spans="4:8" x14ac:dyDescent="0.2">
      <c r="D40">
        <v>1</v>
      </c>
      <c r="E40">
        <v>23.52</v>
      </c>
      <c r="G40">
        <v>1</v>
      </c>
      <c r="H40">
        <v>23.52</v>
      </c>
    </row>
    <row r="41" spans="4:8" x14ac:dyDescent="0.2">
      <c r="D41">
        <v>2</v>
      </c>
      <c r="E41">
        <v>22.09</v>
      </c>
      <c r="G41">
        <v>2</v>
      </c>
      <c r="H41">
        <v>22.09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1413-EB49-7141-942F-95B4500907B9}">
  <dimension ref="A1:K4"/>
  <sheetViews>
    <sheetView zoomScale="282" zoomScaleNormal="282" workbookViewId="0">
      <selection activeCell="A4" sqref="A4"/>
    </sheetView>
  </sheetViews>
  <sheetFormatPr baseColWidth="10" defaultRowHeight="16" x14ac:dyDescent="0.2"/>
  <sheetData>
    <row r="1" spans="1:11" x14ac:dyDescent="0.2">
      <c r="A1" t="str" cm="1">
        <f t="array" ref="A1:K1">STAT.DESKRIPTIV.BESCHRIFTUNG("metrisch")</f>
        <v>id</v>
      </c>
      <c r="B1" t="str">
        <v>n(total)</v>
      </c>
      <c r="C1" t="str">
        <v>n(valid)</v>
      </c>
      <c r="D1" t="str">
        <v>mean</v>
      </c>
      <c r="E1" t="str">
        <v>stddev</v>
      </c>
      <c r="F1" t="str">
        <v>stderr</v>
      </c>
      <c r="G1" t="str">
        <v>min</v>
      </c>
      <c r="H1" t="str">
        <v>median</v>
      </c>
      <c r="I1" t="str">
        <v>max</v>
      </c>
      <c r="J1" t="str">
        <v>IQR</v>
      </c>
      <c r="K1" t="str">
        <v>mad</v>
      </c>
    </row>
    <row r="3" spans="1:11" x14ac:dyDescent="0.2">
      <c r="A3" t="str" cm="1">
        <f t="array" ref="A3:H3">STAT.DESKRIPTIV.BESCHRIFTUNG("ordinal")</f>
        <v>id</v>
      </c>
      <c r="B3" t="str">
        <v>n(total)</v>
      </c>
      <c r="C3" t="str">
        <v>n(valid)</v>
      </c>
      <c r="D3" t="str">
        <v>min</v>
      </c>
      <c r="E3" t="str">
        <v>median</v>
      </c>
      <c r="F3" t="str">
        <v>max</v>
      </c>
      <c r="G3" t="str">
        <v>IQR</v>
      </c>
      <c r="H3" t="str">
        <v>mad</v>
      </c>
    </row>
    <row r="4" spans="1:11" x14ac:dyDescent="0.2">
      <c r="A4" t="s">
        <v>10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BcAG4AQwBPAEwAUwBVAE0APQBMAEEATQBCAEQAQQAoAG0AYQB0AHIAaQB4ADsATgBBAEMASABTAFAAQQBMAFQARQAoAG0AYQB0AHIAaQB4ADsAUwBVAE0ATQBFACkAKQA7ADsAXABuAEMATwBSAFIALgBDAFIAQQBNAEUAUgA9AEwAQQBNAEIARABBACgAdgBhAHIAXwB4ADsAdgBhAHIAXwB5ADsATABFAFQAKABuAF8AaQA7AFMAVABBAFQALgBUAEEAQgBMAEUAKAB2AGEAcgBfAHgAKQA7AG4AXwBqADsAUwBUAEEAVAAuAFQAQQBCAEwARQAoAHYAYQByAF8AeQApADsAZABpAHYAOwBNAEkATgAoAEEATgBaAEEASABMACgAbgBfAGkAKQA7AEEATgBaAEEASABMACgAbgBfAGoAKQApADsAbgA7AFMAVQBNAE0ARQAoAG4AXwBqACkAOwB4AF8AYgBhAHMAZQA7AG4AXwBpACoATQBUAFIAQQBOAFMAKABuAF8AagApAC8AbgA7AG4AXwBpAGoAOwBTAFQAQQBUAC4AVABBAEIATABFACgAdgBhAHIAXwB4ADsAdgBhAHIAXwB5ACkAOwBXAFUAUgBaAEUATAAoACgAUwBVAE0ATQBFACgAKABuAF8AaQBqAC0AeABfAGIAYQBzAGUAKQBeADIALwB4AF8AYgBhAHMAZQApACkALwAoAG4AKgAoAGQAaQB2AC0AMQApACkAKQApACkAOwA7AEMATwBSAFIALgBDAFIAQQBNAEUAUgAuAFQARQBTAFQAPQBMAEEATQBCAEQAQQAoAHYAYQByAF8AeAA7AHYAYQByAF8AeQA7AFsAaABlAGEAZABlAHIAcwBdADsATABFAFQAKABoAGUAYQBkAGUAcgBzADsATwBEAEUAUgAoAFcAVQBSAEQARQBBAFUAUwBHAEUATABBAFMAUwBFAE4AKABoAGUAYQBkAGUAcgBzACkAOwBOAEkAQwBIAFQAKABoAGUAYQBkAGUAcgBzACkAKQA7AHIAXwB2AGEAbAB1AGUAOwBDAE8AUgBSAC4AQwBSAEEATQBFAFIAKAB2AGEAcgBfAHgAOwB2AGEAcgBfAHkAKQA7AHAAXwB2AGEAbAB1AGUAOwBDAEgASQBRAFUALgBUAEUAUwBUAC4AUwAoAHYAYQByAF8AeAA7AHYAYQByAF8AeQApADsAcgBlAHMAdQBsAHQAcwA7AEgAUwBUAEEAUABFAEwATgAoAHIAXwB2AGEAbAB1AGUAOwBwAF8AdgBhAGwAdQBlACkAOwBXAEUATgBOACgAaABlAGEAZABlAHIAcwA7AHIAZQBzAHUAbAB0AHMAOwBWAFMAVABBAFAARQBMAE4AKABIAFMAVABBAFAARQBMAE4AKABcACIAVgBcACIAOwBcACIAcABcACIAKQA7AHIAZQBzAHUAbAB0AHMAKQApACkAKQA7ADsAXABuAEMATwBSAFIALgBLAEUATgBEAEEATAA9AEwAQQBNAEIARABBACgAdgBhAHIAXwB4ADsAdgBhAHIAXwB5ADsATABFAFQAKABzAF8AbgA7AEEATgBaAEEASABMACgAdgBhAHIAXwB4ACkAOwB4AF8AagA7AE0AVABSAEEATgBTACgAdgBhAHIAXwB4ACkAOwB5AF8AagA7AE0AVABSAEEATgBTACgAdgBhAHIAXwB5ACkAOwB0AHIAaQBhAG4AZwBsAGUAOwBNAFQAUgBJAEEATgBHAEwARQAoAHMAXwBuADsAVwBBAEgAUgA7AFcAQQBIAFIAKQA7AHQAcgBfAHMAaQBnAG4AOwBTAFQAQQBUAC4AUwBJAEcATgAoAHYAYQByAF8AeAAtAHgAXwBqACkAKgBTAFQAQQBUAC4AUwBJAEcATgAoAHYAYQByAF8AeQAtAHkAXwBqACkAKgB0AHIAaQBhAG4AZwBsAGUAOwBuAF8AYwA7AFMAVQBNAE0ARQAoADEAKgAoAHQAcgBfAHMAaQBnAG4APgAwACkAKQA7AG4AXwBkADsAUwBVAE0ATQBFACgAMQAqACgAdAByAF8AcwBpAGcAbgA8ADAAKQApADsAbQBfAGsAOwBNAEkATgAoAEEATgBaAEEASABMACgARQBJAE4ARABFAFUAVABJAEcAKAB2AGEAcgBfAHgAKQApADsAQQBOAFoAQQBIAEwAKABFAEkATgBEAEUAVQBUAEkARwAoAHYAYQByAF8AeQApACkAKQA7AFcARQBOAE4AKABzAF8AbgA9AEEATgBaAEEASABMACgAdgBhAHIAXwB5ACkAOwAoAG4AXwBjAC0AbgBfAGQAKQAqADIALwAoAHMAXwBuAF4AMgAqACgAKABtAF8AawAtADEAKQAvAG0AXwBrACkAKQA7ACMAVwBFAFIAVAAhACkAKQApADsAOwBDAE8AUgBSAC4ASwBFAE4ARABBAEwALgBUAEUAUwBUAD0ATABBAE0AQgBEAEEAKAB2AGEAcgBfAHgAOwB2AGEAcgBfAHkAOwBbAGgAZQBhAGQAZQByAHMAXQA7AEwARQBUACgAaABlAGEAZABlAHIAcwA7AE8ARABFAFIAKABXAFUAUgBEAEUAQQBVAFMARwBFAEwAQQBTAFMARQBOACgAaABlAGEAZABlAHIAcwApADsATgBJAEMASABUACgAaABlAGEAZABlAHIAcwApACkAOwBzAF8AbgA7AEEATgBaAEEASABMACgAdgBhAHIAXwB4ACkAOwB4AF8AagA7AE0AVABSAEEATgBTACgAdgBhAHIAXwB4ACkAOwB5AF8AagA7AE0AVABSAEEATgBTACgAdgBhAHIAXwB5ACkAOwB0AHIAaQBhAG4AZwBsAGUAOwBNAFQAUgBJAEEATgBHAEwARQAoAHMAXwBuADsAVwBBAEgAUgA7AFcAQQBIAFIAKQA7AHQAcgBfAHMAaQBnAG4AOwBTAFQAQQBUAC4AUwBJAEcATgAoAHYAYQByAF8AeAAtAHgAXwBqACkAKgBTAFQAQQBUAC4AUwBJAEcATgAoAHYAYQByAF8AeQAtAHkAXwBqACkAKgB0AHIAaQBhAG4AZwBsAGUAOwBuAF8AYwA7AFMAVQBNAE0ARQAoADEAKgAoAHQAcgBfAHMAaQBnAG4APgAwACkAKQA7AG4AXwBkADsAUwBVAE0ATQBFACgAMQAqACgAdAByAF8AcwBpAGcAbgA8ADAAKQApADsAbQBfAGsAOwBNAEkATgAoAEEATgBaAEEASABMACgARQBJAE4ARABFAFUAVABJAEcAKAB2AGEAcgBfAHgAKQApADsAQQBOAFoAQQBIAEwAKABFAEkATgBEAEUAVQBUAEkARwAoAHYAYQByAF8AeQApACkAKQA7AHIAXwB0AGEAdQA7ACgAbgBfAGMALQBuAF8AZAApACoAMgAvACgAcwBfAG4AXgAyACoAKAAoAG0AXwBrAC0AMQApAC8AbQBfAGsAKQApADsAdgBfADAAOwBzAF8AbgAqACgAcwBfAG4ALQAxACkAKgAoADIAKgBzAF8AbgArADUAKQA7AHQAXwByAGEAbgBrADsAUgBBAE4ARwAuAE0ASQBUAFQARQBMAFcAKAB2AGEAcgBfAHgAOwB2AGEAcgBfAHgAKQA7AHUAXwByAGEAbgBrADsAUgBBAE4ARwAuAE0ASQBUAFQARQBMAFcAKAB2AGEAcgBfAHkAOwB2AGEAcgBfAHkAKQA7AHQAXwBpADsARwBSAFUAUABQAEUATgAuAEEATgBaAEEASABMACgAdABfAHIAYQBuAGsAKQA7AHUAXwBpADsARwBSAFUAUABQAEUATgAuAEEATgBaAEEASABMACgAdQBfAHIAYQBuAGsAKQA7AHYAXwB0ADsAUwBVAE0ATQBFACgAdABfAGkAKgAoAHQAXwBpAC0AMQApACoAKAAyACoAdABfAGkAKwA1ACkAKQA7AHYAXwB1ADsAUwBVAE0ATQBFACgAdQBfAGkAKgAoAHUAXwBpAC0AMQApACoAKAAyACoAdQBfAGkAKwA1ACkAKQA7AHYAXwAxADsAUwBVAE0ATQBFACgAdABfAGkAKgAoAHQAXwBpAC0AMQApACkAKgBTAFUATQBNAEUAKAB1AF8AaQAqACgAdQBfAGkALQAxACkAKQAvACgAMgAqAHMAXwBuACoAKABzAF8AbgAtADEAKQApADsAdgBfADIAOwBTAFUATQBNAEUAKAB0AF8AaQAqACgAdABfAGkALQAxACkAKgAoAHQAXwBpAC0AMgApACkAKgBTAFUATQBNAEUAKAB1AF8AaQAqACgAdQBfAGkALQAxACkAKgAoAHUAXwBpAC0AMgApACkALwAoADkAKgBzAF8AbgAqACgAcwBfAG4ALQAxACkAKgAoAHMAXwBuAC0AMgApACkAOwB2AF8AYQBsAGwAOwAxAC8AMQA4ACoAdgBfADAALQAoAHYAXwB0ACsAdgBfAHUAKQAvADEAOAArAHYAXwAxACsAdgBfADIAOwB6AF8AYgA7ACgAbgBfAGMALQBuAF8AZAApAC8AVwBVAFIAWgBFAEwAKAB2AF8AYQBsAGwAKQA7AHAAXwB2ADsATgBPAFIATQAuAFYARQBSAFQAKAB6AF8AYgA7ADAAOwAxADsAVwBBAEgAUgApADsAcABfAHYAYQBsAHUAZQA7ADIAKgBXAEUATgBOACgAcABfAHYAPgAuADUAOwAxAC0AcABfAHYAOwBwAF8AdgApADsAcgBlAHMAdQBsAHQAcwA7AEgAUwBUAEEAUABFAEwATgAoAHIAXwB0AGEAdQA7AHoAXwBiADsAcABfAHYAYQBsAHUAZQApADsAdwBlAG4AbgAoAGgAZQBhAGQAZQByAHMAOwByAGUAcwB1AGwAdABzADsAVgBTAFQAQQBQAEUATABOACgASABTAFQAQQBQAEUATABOACgAXAAiAHQAYQB1AFwAIgA7AFwAIgB6AFwAIgA7AFwAIgBwAFwAIgApADsAcgBlAHMAdQBsAHQAcwApACkAKQApADsAOwBcAG4AQwBPAFIAUgAuAFAARQBBAFIAUwBPAE4APQBMAEEATQBCAEQAQQAoAHYAYQByAF8AeAA7AHYAYQByAF8AeQA7AEsATwBSAFIARQBMACgAdgBhAHIAXwB4ADsAdgBhAHIAXwB5ACkAKQA7ADsAQwBPAFIAUgAuAFAARQBBAFIAUwBPAE4ALgBUAEUAUwBUAD0ATABBAE0AQgBEAEEAKAB2AGEAcgBfAHgAOwB2AGEAcgBfAHkAOwBbAGgAZQBhAGQAZQByAHMAXQA7AEwARQBUACgAYwBfAHAAZQBhAHIAcwBvAG4AOwBLAE8AUgBSAEUATAAoAHYAYQByAF8AeAA7AHYAYQByAF8AeQApADsAdABfAHYAYQBsAHUAZQA7AGMAXwBwAGUAYQByAHMAbwBuACoAVwBVAFIAWgBFAEwAKABBAE4AWgBBAEgATAAoAHYAYQByAF8AeAApAC0AMgApAC8AVwBVAFIAWgBFAEwAKAAxAC0AYwBfAHAAZQBhAHIAcwBvAG4AXgAyACkAOwBwAF8AdgBhAGwAdQBlADsAVAAuAFYARQBSAFQALgAyAFMAKAB0AF8AdgBhAGwAdQBlADsAQQBOAFoAQQBIAEwAKAB2AGEAcgBfAHgAKQAtADIAKQA7AHIAZQBzAHUAbAB0AHMAOwBIAFMAVABBAFAARQBMAE4AKABjAF8AcABlAGEAcgBzAG8AbgA7AHQAXwB2AGEAbAB1AGUAOwBwAF8AdgBhAGwAdQBlACkAOwBXAEUATgBOACgATwBEAEUAUgAoAFcAVQBSAEQARQBBAFUAUwBHAEUATABBAFMAUwBFAE4AKABoAGUAYQBkAGUAcgBzACkAOwBOAEkAQwBIAFQAKABoAGUAYQBkAGUAcgBzACkAKQA7AHIAZQBzAHUAbAB0AHMAOwBWAFMAVABBAFAARQBMAE4AKABIAFMAVABBAFAARQBMAE4AKABcACIAcgBcACIAOwBcACIAdABcACIAOwBcACIAcABcACIAKQA7AHIAZQBzAHUAbAB0AHMAKQApACkAKQA7ADsAXABuAEMATwBSAFIALgBTAFAARQBBAFIATQBBAE4APQBMAEEATQBCAEQAQQAoAHYAYQByAF8AeAA7AHYAYQByAF8AeQA7AEsATwBSAFIARQBMACgAUgBBAE4ARwAuAE0ASQBUAFQARQBMAFcAKAB2AGEAcgBfAHgAOwB2AGEAcgBfAHgAKQA7AFIAQQBOAEcALgBNAEkAVABUAEUATABXACgAdgBhAHIAXwB5ADsAdgBhAHIAXwB5ACkAKQApADsAOwBcAG4AQwBVAE0AUwBVAE0APQBMAEEATQBCAEQAQQAoAHYAZQBjAHQAbwByADsAUwBDAEEATgAoADAAOwB2AGUAYwB0AG8AcgA7AEwAQQBNAEIARABBACgAYQBjAGMAdQA7AHYAYQBsAHUAZQA7AGEAYwBjAHUAKwB2AGEAbAB1AGUAKQApACkAOwA7AFwAbgBEAFUATQBNAFkALgBDAE8ARABJAE4ARwA9AEwAQQBNAEIARABBACgAdgBhAHIAaQBhAGIAbABlADsAWwBoAGUAYQBkAGUAcgBdADsATABFAFQAKAB2AGEAcgBpAGEAYgBsAGUAOwBGAEkATABUAEUAUgAoAHYAYQByAGkAYQBiAGwAZQA7AE4ASQBDAEgAVAAoAEkAUwBUAEYARQBIAEwARQBSACgAdgBhAHIAaQBhAGIAbABlACkAKQApADsAawBfAG4AYQBtAGUAcwA7AE0AVABSAEEATgBTACgARQBJAE4ARABFAFUAVABJAEcAKAB2AGEAcgBpAGEAYgBsAGUAKQApADsAawBfAHIAZQBmADsAUwBQAEEATABUAEUATgBXAEEASABMACgAawBfAG4AYQBtAGUAcwA7AFMARQBRAFUARQBOAFoAKAAxADsAQQBOAFoAQQBIAEwAMgAoAGsAXwBuAGEAbQBlAHMAKQAtADEAKQApADsAYwBvAGQAZQBzADsAMQAqACgAdgBhAHIAaQBhAGIAbABlAD0AawBfAHIAZQBmACkAOwB3AGUAbgBuACgATwBEAEUAUgAoAFcAVQBSAEQARQBBAFUAUwBHAEUATABBAFMAUwBFAE4AKABoAGUAYQBkAGUAcgApADsAbgBpAGMAaAB0ACgAaABlAGEAZABlAHIAKQApADsAYwBvAGQAZQBzADsAdgBzAHQAYQBwAGUAbABuACgAawBfAHIAZQBmADsAYwBvAGQAZQBzACkAKQApACkAOwA7AFwAbgBHAFIATwBVAFAALgBDAE8AVQBOAFQAPQBMAEEATQBCAEQAQQAoAGcAcgBvAHUAcABzADsAUwBQAEEATABUAEUATgBXAEEASABMACgARwBSAFUAUABQAEkARQBSAEUATgBOAEEAQwBIACgAZwByAG8AdQBwAHMAOwBnAHIAbwB1AHAAcwA7AEEATgBaAEEASABMADIAOwA7ADAAKQA7ADIAKQApADsAOwBHAFIATwBVAFAALgBMAEEAQgBFAEwAUwA9AEwAQQBNAEIARABBACgAZwByAG8AdQBwAHMAOwBTAFAAQQBMAFQARQBOAFcAQQBIAEwAKABHAFIAVQBQAFAASQBFAFIARQBOAE4AQQBDAEgAKABnAHIAbwB1AHAAcwA7AGcAcgBvAHUAcABzADsAQQBOAFoAQQBIAEwAMgA7ADsAMAApADsAMQApACkAOwA7AFwAbgBHAFIATwBVAFAALgBJAFEAUgA9AEwAQQBNAEIARABBACgAdgBhAGwAdQBlAHMAOwBnAHIAbwB1AHAAcwA7AFMAUABBAEwAVABFAE4AVwBBAEgATAAoAEcAUgBVAFAAUABJAEUAUgBFAE4ATgBBAEMASAAoAGcAcgBvAHUAcABzADsAdgBhAGwAdQBlAHMAOwBTAFQAQQBUAC4ASQBRAFIAOwA7ADAAKQA7ADIAKQApADsAOwBcAG4ARwBSAE8AVQBQAC4ATQBBAEQAPQBMAEEATQBCAEQAQQAoAHYAYQBsAHUAZQBzADsAZwByAG8AdQBwAHMAOwBTAFAAQQBMAFQARQBOAFcAQQBIAEwAKABHAFIAVQBQAFAASQBFAFIARQBOAE4AQQBDAEgAKABnAHIAbwB1AHAAcwA7AHYAYQBsAHUAZQBzADsAUwBUAEEAVAAuAE0AQQBEADsAOwAwACkAOwAyACkAKQA7ADsAXABuAEcAUgBPAFUAUAAuAE0AQQBYAD0ATABBAE0AQgBEAEEAKAB2AGEAbAB1AGUAcwA7AGcAcgBvAHUAcABzADsAUwBQAEEATABUAEUATgBXAEEASABMACgARwBSAFUAUABQAEkARQBSAEUATgBOAEEAQwBIACgAZwByAG8AdQBwAHMAOwB2AGEAbAB1AGUAcwA7AE0AQQBYADsAOwAwACkAOwAyACkAKQA7ADsAXABuAEcAUgBPAFUAUAAuAE0ARQBBAE4APQBMAEEATQBCAEQAQQAoAHYAYQBsAHUAZQBzADsAZwByAG8AdQBwAHMAOwBTAFAAQQBMAFQARQBOAFcAQQBIAEwAKABHAFIAVQBQAFAASQBFAFIARQBOAE4AQQBDAEgAKABnAHIAbwB1AHAAcwA7AHYAYQBsAHUAZQBzADsATQBJAFQAVABFAEwAVwBFAFIAVAA7ADsAMAApADsAMgApACkAOwA7AFwAbgBHAFIATwBVAFAALgBNAEUARABJAEEATgA9AEwAQQBNAEIARABBACgAdgBhAGwAdQBlAHMAOwBnAHIAbwB1AHAAcwA7AFMAUABBAEwAVABFAE4AVwBBAEgATAAoAEcAUgBVAFAAUABJAEUAUgBFAE4ATgBBAEMASAAoAGcAcgBvAHUAcABzADsAdgBhAGwAdQBlAHMAOwBNAEUARABJAEEATgA7ADsAMAApADsAMgApACkAOwA7AFwAbgBHAFIATwBVAFAALgBNAEkATgA9AEwAQQBNAEIARABBACgAdgBhAGwAdQBlAHMAOwBnAHIAbwB1AHAAcwA7AFMAUABBAEwAVABFAE4AVwBBAEgATAAoAEcAUgBVAFAAUABJAEUAUgBFAE4ATgBBAEMASAAoAGcAcgBvAHUAcABzADsAdgBhAGwAdQBlAHMAOwBNAEkATgA7ADsAMAApADsAMgApACkAOwA7AFwAbgBHAFIATwBVAFAALgBTAEQAPQBMAEEATQBCAEQAQQAoAHYAYQBsAHUAZQBzADsAZwByAG8AdQBwAHMAOwBTAFAAQQBMAFQARQBOAFcAQQBIAEwAKABHAFIAVQBQAFAASQBFAFIARQBOAE4AQQBDAEgAKABnAHIAbwB1AHAAcwA7AHYAYQBsAHUAZQBzADsAUwBUAEEAQgBXAC4AUwA7ADsAMAApADsAMgApACkAOwA7AFwAbgBHAFIATwBVAFAALgBTAEUAPQBMAEEATQBCAEQAQQAoAHYAYQBsAHUAZQBzADsAZwByAG8AdQBwAHMAOwBTAFAAQQBMAFQARQBOAFcAQQBIAEwAKABHAFIAVQBQAFAASQBFAFIARQBOAE4AQQBDAEgAKABnAHIAbwB1AHAAcwA7AHYAYQBsAHUAZQBzADsAUwBUAEEAVAAuAFMARQA7ADsAMAApADsAMgApACkAOwA7AFwAbgBHAFIATwBVAFAALgBTAFUATQA9AEwAQQBNAEIARABBACgAdgBhAGwAdQBlAHMAOwBnAHIAbwB1AHAAcwA7AFMAUABBAEwAVABFAE4AVwBBAEgATAAoAEcAUgBVAFAAUABJAEUAUgBFAE4ATgBBAEMASAAoAGcAcgBvAHUAcABzADsAdgBhAGwAdQBlAHMAOwBTAFUATQBNAEUAOwA7ADAAKQA7ADIAKQApADsAOwBcAG4ASABSAEUAUABFAEEAVAA9AEwAQQBNAEIARABBACgAdgBhAGwAdQBlADsAbgBfAHQAaQBtAGUAcwA7AFcARQBOAE4AKABVAE4ARAAoAEEATgBaAEEASABMADIAKAB2AGEAbAB1AGUAKQA9ADEAOwBBAE4AWgBBAEgATAAoAG4AXwB0AGkAbQBlAHMAKQA9ADEAOwBuAF8AdABpAG0AZQBzAD4AMAApADsAVwBFAE4ATgAoAEkAUwBUAFoAQQBIAEwAKAB2AGEAbAB1AGUAKQArAEkAUwBUAEwATwBHACgAdgBhAGwAdQBlACkAOwBTAEUAUQBVAEUATgBaACgAMQA7AG4AXwB0AGkAbQBlAHMAOwB2AGEAbAB1AGUAOwAwACkAOwBXAEUATgBOACgAUwBFAFEAVQBFAE4AWgAoADEAOwBuAF8AdABpAG0AZQBzACkAOwB2AGEAbAB1AGUAKQApADsAIwBXAEUAUgBUACEAKQApADsAOwBcAG4ASQBTAC4AQQBMAEwALgBFAFEAVQBBAEwAPQBMAEEATQBCAEQAQQAoAHYAZQBjAHQAbwByADsAVQBOAEQAKAB2AGUAYwB0AG8AcgA9AGkAbgBkAGUAeAAoAHYAZQBjAHQAbwByADsAMQA7ADEAKQApACkAOwA7AFwAbgBJAFMALgBWAEUAQwBUAE8AUgA9AEwAQQBNAEIARABBACgAdgBlAGMAdABvAHIAOwBXAEUATgBOAEYARQBIAEwARQBSACgASQBTAC4AQQBMAEwALgBFAFEAVQBBAEwAKABNAEEAUAAoAFIARQBNAE8AVgBFAC4ASQBOAFYAQQBMAEkARAAoAHYAZQBjAHQAbwByACkAOwBUAFkAUAApACkAOwBGAEEATABTAEMASAApACkAOwA7AFwAbgBNAEEAUgBLAC4ASQBOAFYAQQBMAEkARAA9AEwAQQBNAEIARABBACgAdgBlAGMAdABvAHIAcwA7AGkAbgB2AGEAbABpAGQAXwB2AGEAbAB1AGUAcwA7AE0AQQBQACgAdgBlAGMAdABvAHIAcwA7AEwAQQBNAEIARABBACgAdgBfAGkAOwB3AGUAbgBuACgAdwBlAG4AbgBmAGUAaABsAGUAcgAoAFgAVgBFAFIARwBMAEUASQBDAEgAKAB2AF8AaQA7AGkAbgB2AGEAbABpAGQAXwB2AGEAbAB1AGUAcwA7ADAAKQA7ADAAKQA7ACMATgBWADsAdgBfAGkAKQApACkAKQA7ADsAXABuAE0AQQBUAFIASQBYAF8AVABPAF8ATABPAE4ARwA9AEwAQQBNAEIARABBACgAbQBhAHQAcgBpAHgAOwBbAHAAXwBoAGUAYQBkAGUAcgBzAF0AOwBbAHAAXwB3AGkAdABoAG4AYQBtAGUAcwBdADsATABFAFQAKABwAF8AaABlAGEAZABlAHIAcwA7AE8ARABFAFIAKABXAFUAUgBEAEUAQQBVAFMARwBFAEwAQQBTAFMARQBOACgAcABfAGgAZQBhAGQAZQByAHMAKQA7AHAAXwBoAGUAYQBkAGUAcgBzACkAOwBwAF8AdwBpAHQAaABuAGEAbQBlAHMAOwBXAEUATgBOACgAVwBVAFIARABFAEEAVQBTAEcARQBMAEEAUwBTAEUATgAoAHAAXwB3AGkAdABoAG4AYQBtAGUAcwApADsAewBcACIAbgBhAG0AZQBcACIAOwBcACIAdgBhAGwAdQBlAFwAIgB9ADsAcABfAHcAaQB0AGgAbgBhAG0AZQBzACkAOwBiAF8AaABlAGEAZABlAHIAcwA7AFUATgBEACgAUwBQAEEATABUAEUATgAoAHAAXwBoAGUAYQBkAGUAcgBzACkAPQAxADsAWgBFAEkATABFAE4AKABwAF8AaABlAGEAZABlAHIAcwApAD0AMQA7AHAAXwBoAGUAYQBkAGUAcgBzACkAOwBuAF8AYwBvAGwAcwA7AFMAUABBAEwAVABFAE4AKABtAGEAdAByAGkAeAApADsAbgBfAHIAbwB3AHMAOwBaAEUASQBMAEUATgAoAG0AYQB0AHIAaQB4ACkALQBiAF8AaABlAGEAZABlAHIAcwA7AHMAZQBsAF8AaABlAGEAZABlAHIAOwBXAEUATgBOAFMAKABVAE4ARAAoAEEATgBaAEEASABMADIAKABwAF8AaABlAGEAZABlAHIAcwApAD0AbgBfAGMAbwBsAHMAOwBTAFAAQQBMAFQARQBOACgAcABfAGgAZQBhAGQAZQByAHMAKQA9AG4AXwBjAG8AbABzACkAOwBwAF8AaABlAGEAZABlAHIAcwA7AEEATgBaAEEASABMADIAKABwAF8AaABlAGEAZABlAHIAcwApAD0AbgBfAGMAbwBsAHMAOwBNAFQAUgBBAE4AUwAoAHAAXwBoAGUAYQBkAGUAcgBzACkAOwBiAF8AaABlAGEAZABlAHIAcwA7AFoARQBJAEwARQBOAFcAQQBIAEwAKABtAGEAdAByAGkAeAA7ADEAKQA7AFcAQQBIAFIAOwBTAEUAUQBVAEUATgBaACgAMQA7AG4AXwBjAG8AbABzACkAKQA7AHMAZQBsAF8AaABlAGEAZABpAG4AZwA7AFcARQBOAE4AUwAoAFUATgBEACgAQQBOAFoAQQBIAEwAMgAoAHAAXwB3AGkAdABoAG4AYQBtAGUAcwApAD0AMgA7AFoARQBJAEwARQBOACgAcABfAHcAaQB0AGgAbgBhAG0AZQBzACkAPQAxACkAOwBwAF8AdwBpAHQAaABuAGEAbQBlAHMAOwBBAE4AWgBBAEgATAAyACgAcABfAHcAaQB0AGgAbgBhAG0AZQBzACkAPQAyADsATQBUAFIAQQBOAFMAKABwAF8AdwBpAHQAaABuAGEAbQBlAHMAKQA7AFcAQQBIAFIAOwBGAEEATABTAEMASAApADsAdgBhAGwAdQBlAHMAOwBaAFUAUwBQAEEATABUAEUAKABXAEUATgBOACgAYgBfAGgAZQBhAGQAZQByAHMAOwBaAEUASQBMAEUATgBXAEEASABMACgAbQBhAHQAcgBpAHgAOwBTAEUAUQBVAEUATgBaACgAbgBfAHIAbwB3AHMAOwAxADsAMgApACkAOwBtAGEAdAByAGkAeAApACkAOwBpAGQAeABfAG4AOwBSAEUAUwBUACgAUwBFAFEAVQBFAE4AWgAoAG4AXwByAG8AdwBzACoAbgBfAGMAbwBsAHMAOwAxADsAMAApADsAbgBfAGMAbwBsAHMAKQArADEAOwBuAGEAbQBlAHMAOwBJAE4ARABFAFgAKABzAGUAbABfAGgAZQBhAGQAZQByADsAMQA7AGkAZAB4AF8AbgApADsAcgBlAHMAdQBsAHQAOwBIAFMAVABBAFAARQBMAE4AKABuAGEAbQBlAHMAOwB2AGEAbAB1AGUAcwApADsAVwBFAE4ATgAoAFMAUABBAEwAVABFAE4AKABzAGUAbABfAGgAZQBhAGQAaQBuAGcAKQA9ADEAOwByAGUAcwB1AGwAdAA7AFYAUwBUAEEAUABFAEwATgAoAHMAZQBsAF8AaABlAGEAZABpAG4AZwA7AHIAZQBzAHUAbAB0ACkAKQApACkAOwA7AE0AQQBUAFIASQBYAC4AVABPAC4ATABPAE4ARwA9AE0AQQBUAFIASQBYAF8AVABPAF8ATABPAE4ARwA7ADsATQBBAFQAUgBJAFgALgBaAFUALgBMAEEATgBHAEYATwBSAE0APQBMAEEATQBCAEQAQQAoAG0AYQB0AHIAaQB4ADsAWwBwAF8AbgBhAG0AZQBuAF0AOwBbAHAAXwB0AHQAbABdADsATABFAFQAKABwAF8AdAB0AGwAOwB3AGUAbgBuACgAVwBVAFIARABFAEEAVQBTAEcARQBMAEEAUwBTAEUATgAoAHAAXwB0AHQAbAApADsAewBcACIATgBhAG0AZQBcACIAOwBcACIAVwBlAHIAdABcACIAfQA7AHAAXwB0AHQAbAApADsATQBBAFQAUgBJAFgAXwBUAE8AXwBMAE8ATgBHACgAbQBhAHQAcgBpAHgAOwBwAF8AbgBhAG0AZQBuADsAcABfAHQAdABsACkAKQApADsAOwBcAG4ATQBEAEkATQA9AEwAQQBNAEIARABBACgAbQBhAHQAcgBpAHgAOwBIAFMAVABBAFAARQBMAE4AKABaAEUASQBMAEUATgAoAG0AYQB0AHIAaQB4ACkAOwBTAFAAQQBMAFQARQBOACgAbQBhAHQAcgBpAHgAKQApACkAOwA7AFwAbgBNAFQAUgBBAEMARQA9AEwAQQBNAEIARABBACgAbQBhAHQAcgBpAHgAOwBXAEUATgBOACgAWgBFAEkATABFAE4AKABtAGEAdAByAGkAeAApAD0AUwBQAEEATABUAEUATgAoAG0AYQB0AHIAaQB4ACkAOwBMAEUAVAAoAGkAbgBkAGUAeAA7AFMARQBRAFUARQBOAFoAKABaAEUASQBMAEUATgAoAG0AYQB0AHIAaQB4ACkAKQA7AFMAVQBNAE0ARQAoAEkATgBEAEUAWAAoAG0AYQB0AHIAaQB4ADsAaQBuAGQAZQB4ADsAaQBuAGQAZQB4ACkAKQApADsAIwBXAEUAUgBUACEAKQApADsAOwBcAG4ATQBUAFIASQBBAE4ARwBMAEUAPQBMAEEATQBCAEQAQQAoAHMAaQB6AGUAOwBbAHAAXwBsAG8AdwBlAHIAXQA7AFsAcABfAHMAdAByAGkAYwB0AF0AOwBMAEUAVAAoAGIAXwBsAG8AdwBlAHIAOwBPAEQARQBSACgAVwBVAFIARABFAEEAVQBTAEcARQBMAEEAUwBTAEUATgAoAHAAXwBsAG8AdwBlAHIAKQA7AHAAXwBsAG8AdwBlAHIAKQA7AGIAXwBzAHQAcgBpAGMAdAA7AE8ARABFAFIAKABXAFUAUgBEAEUAQQBVAFMARwBFAEwAQQBTAFMARQBOACgAcABfAHMAdAByAGkAYwB0ACkAOwBOAEkAQwBIAFQAKABwAF8AcwB0AHIAaQBjAHQAKQApADsAVwBFAE4ATgAoAFUATgBEACgAQQBOAFoAQQBIAEwAKABzAGkAegBlACkAPQAxADsAQQBOAFoAQQBIAEwAMgAoAGIAXwBsAG8AdwBlAHIAKQA9ADEAOwBBAE4AWgBBAEgATAAyACgAYgBfAHMAdAByAGkAYwB0ACkAPQAxACkAOwBMAEUAVAAoAHYAZQBjAHQAbwByADsAUwBFAFEAVQBFAE4AWgAoAHMAaQB6AGUAKQA7AHQAdgBlAGMAdABvAHIAOwBNAFQAUgBBAE4AUwAoAHYAZQBjAHQAbwByACkAOwAxACoAVwBFAE4ATgBTACgAVQBOAEQAKABiAF8AbABvAHcAZQByADsAYgBfAHMAdAByAGkAYwB0ACkAOwB2AGUAYwB0AG8AcgA+AHQAdgBlAGMAdABvAHIAOwBiAF8AbABvAHcAZQByADsAdgBlAGMAdABvAHIAPgA9AHQAdgBlAGMAdABvAHIAOwBiAF8AcwB0AHIAaQBjAHQAOwB2AGUAYwB0AG8AcgA8AHQAdgBlAGMAdABvAHIAOwBXAEEASABSADsAdgBlAGMAdABvAHIAPAA9AHQAdgBlAGMAdABvAHIAKQApADsAIwBXAEUAUgBUACEAKQApACkAOwA7AFwAbgBDAEgASQBRAFUALgBGAFUATgBDAC4AVABFAFMAVAA9AEwAQQBNAEIARABBACgAVgBhAGwAcwA7AG4AXwBwAGEAcgBhAG0AcwA7AFIARQBGAEYAVQBOAEMAVABJAE8ATgA7AEwARQBUACgAbgBWAGEAbABzADsAQQBOAFoAQQBIAEwAKABWAGEAbABzACkAOwBuAEcAcgBwAHMAOwBBAFUARgBSAFUATgBEAEUATgAoAG4AVgBhAGwAcwBeADAALgA0ACoAMgA7ADAAKQA7AGUAeABwAFYAOwBuAFYAYQBsAHMALwBuAEcAcgBwAHMAOwB1AG4AaQBxAHUAZQBWAGEAbABzADsAQQBOAFoAQQBIAEwAKABFAEkATgBEAEUAVQBUAEkARwAoAFYAYQBsAHMAKQApADsAbgBHAHIAcABzAEMAYQBsAGMAOwB3AGUAbgBuACgAdQBuAGkAcQB1AGUAVgBhAGwAcwA8ACgAbgBHAHIAcABzACsAZQB4AHAAVgApADsAQQBVAEYAUgBVAE4ARABFAE4AKAB1AG4AaQBxAHUAZQBWAGEAbABzAF4AMAAuADQAKgAyADsAMAApADsAbgBHAHIAcABzACkAOwBlAHgAcABWAEMAYQBsAGMAOwBuAFYAYQBsAHMALwBuAEcAcgBwAHMAQwBhAGwAYwA7AHAAcgBvAHAAcwA7AFIARQBGAEYAVQBOAEMAVABJAE8ATgAoAFYAYQBsAHMAKQA7AHYARwByAHAAOwBHAEEATgBaAFoAQQBIAEwAKABuAEcAcgBwAHMAQwBhAGwAYwAqAHAAcgBvAHAAcwArADEAKQA7AGEAbABsAGcAcgBwAHMAOwBzAGUAcQB1AGUAbgB6ACgAbgBHAHIAcABzAEMAYQBsAGMAKQA7AGMAbgB0AHMAOwBHAFIAVQBQAFAASQBFAFIARQBOAE4AQQBDAEgAKAB2AEcAcgBwADsAdgBHAHIAcAA7AEEATgBaAEEASABMADsAOwAwACkAOwBvAGcAcgBwAHMAOwBzAHAAYQBsAHQAZQBuAHcAYQBoAGwAKABjAG4AdABzADsAMQApADsAdgBnAHIAcABzADsAcwBwAGEAbAB0AGUAbgB3AGEAaABsACgAYwBuAHQAcwA7ADIAKQA7AHMAZQBxAE8AZwByAG8AdQBwAHMAOwBVAE4ARAAoAEEATgBaAEEASABMACgAbwBnAHIAcABzACkAPABuAEcAcgBwAHMAQwBhAGwAYwA7AFMARQBRAFUARQBOAFoAKABBAE4AWgBBAEgATAAoAG8AZwByAHAAcwApADsAOwBtAGkAbgAoAG8AZwByAHAAcwApACkAPQBvAGcAcgBwAHMAKQA7AGEAbABsAGcAcgBwAHMATwBHADsAVwBFAE4ATgAoAHMAZQBxAE8AZwByAG8AdQBwAHMAOwBvAGcAcgBwAHMAOwBhAGwAbABnAHIAcABzACkAOwBuAEcAcgBwAHMAQwBhAGwAYwBPAEcAOwB3AGUAbgBuACgAcwBlAHEATwBnAHIAbwB1AHAAcwA7AEEATgBaAEEASABMACgAbwBnAHIAcABzACkAOwBuAEcAcgBwAHMAQwBhAGwAYwApADsAZQB4AHAAVgBDAGEAbABjAE8ARwA7AG4AVgBhAGwAcwAvAG4ARwByAHAAcwBDAGEAbABjAE8ARwA7AGEAbABsAHYAYQBsAHMAOwBYAFYARQBSAFcARQBJAFMAKABhAGwAbABnAHIAcABzAE8ARwA7AG8AZwByAHAAcwA7AHYAZwByAHAAcwA7ADAAKQA7AGMAaABpAHEAOwBTAFUATQBNAEUAKAAoAGEAbABsAHYAYQBsAHMALQBlAHgAcABWAEMAYQBsAGMATwBHACkAXgAyAC8AZQB4AHAAVgBDAGEAbABjAE8ARwApADsAaABzAHQAYQBwAGUAbABuACgAQwBIAEkAUQBVAC4AdgBlAHIAdAAuAFIARQAoAGMAaABpAHEAOwBuAEcAcgBwAHMAQwBhAGwAYwBPAEcALQAxAC0AbgBfAHAAYQByAGEAbQBzACkAOwBjAGgAaQBxADsAbgBHAHIAcABzAEMAYQBsAGMATwBHAC0AbgBfAHAAYQByAGEAbQBzAC0AMQApACkAKQA7ADsATgBPAFIATQAuAFQARQBTAFQAPQBMAEEATQBCAEQAQQAoAFYAYQBsAHMAOwBDAEgASQBRAFUALgBGAFUATgBDAC4AVABFAFMAVAAoAFYAYQBsAHMAOwAyADsATABBAE0AQgBEAEEAKAB0AFYAYQBsAHMAOwBOAE8AUgBNAC4AVgBFAFIAVAAoAHQAVgBhAGwAcwA7AE0ASQBUAFQARQBMAFcARQBSAFQAKAB0AFYAYQBsAHMAKQA7AFMAVABBAEIAVwAuAFMAKAB0AFYAYQBsAHMAKQA7AFcAQQBIAFIAKQApACkAKQA7ADsAXABuAFAAUQAuAFIARQBOAEEATQBFAC4ASABFAEwAUABFAFIAPQBMAEEATQBCAEQAQQAoAG4AYQBtAGUAcwA7AGwAYQBiAGUAbABzADsAVABFAFgAVABWAEUAUgBLAEUAVABUAEUATgAoAFwAIgAsAFwAIgA7ADsATgBBAEMASABaAEUASQBMAEUAKABNAEEAUAAoAEgAUwBUAEEAUABFAEwATgAoAGwAYQBiAGUAbABzADsAbgBhAG0AZQBzACkAOwBMAEEATQBCAEQAQQAoAHMAdAByAGkAbgBnADsAXAAiAFwAIgBcACIAXAAiACYAcwB0AHIAaQBuAGcAJgBcACIAXAAiAFwAIgBcACIAKQApADsATABBAE0AQgBEAEEAKAByAG8AdwA7AFwAIgB7AFwAIgAmAFQARQBYAFQAVgBFAFIASwBFAFQAVABFAE4AKABcACIALABcACIAOwA7AHIAbwB3ACkAJgBcACIAfQBcACIAKQApACkAKQA7ADsAXABuAFAAUgBFAFAALgBBAEwAVABFAFIATgBBAFQASQBWAEUAPQBMAEEATQBCAEQAQQAoAGEAbAB0ADsAWABWAEUAUgBXAEUASQBTACgATABJAE4ASwBTACgASwBMAEUASQBOACgAYQBsAHQAKQA7ADEAKQA7AHsAXAAiAHQAXAAiADsAXAAiAGcAXAAiADsAXAAiAGwAXAAiADsAXAAiAHIAXAAiADsAXAAiAGsAXAAiADsAXAAiAHUAXAAiADsAXAAiAGIAXAAiADsAXAAiADwAXAAiADsAXAAiAD4AXAAiAH0AOwB7AFwAIgB0AFwAIgA7AFwAIgBnAFwAIgA7AFwAIgBsAFwAIgA7AFwAIgBnAFwAIgA7AFwAIgBsAFwAIgA7AFwAIgB0AFwAIgA7AFwAIgB0AFwAIgA7AFwAIgBsAFwAIgA7AFwAIgBnAFwAIgB9ADsAIwBXAEUAUgBUACEAKQApADsAOwBcAG4AUQBRAC4ARABBAFQAQQA9AEwAQQBNAEIARABBACgAdgBhAGwAdQBlAHMAOwBbAHcAaQB0AGgAXwBoAGUAYQBkAGUAcgBzAF0AOwBMAEUAVAAoAHcAaQB0AGgAXwBoAGUAYQBkAGUAcgBzADsATwBEAEUAUgAoAFcAVQBSAEQARQBBAFUAUwBHAEUATABBAFMAUwBFAE4AKAB3AGkAdABoAF8AaABlAGEAZABlAHIAcwApADsAdwBpAHQAaABfAGgAZQBhAGQAZQByAHMAKQA7AG0AXwB3ADsATQBJAFQAVABFAEwAVwBFAFIAVAAoAHYAYQBsAHUAZQBzACkAOwBtAF8AcwA7AFMAVABBAEIAVwAuAFMAKAB2AGEAbAB1AGUAcwApADsAcgBhAG4AawA7ACgAUgBBAE4ARwAuAE0ASQBUAFQARQBMAFcAKAB2AGEAbAB1AGUAcwA7AHYAYQBsAHUAZQBzADsAMQApAC0AMAAuADUAKQAvAEEATgBaAEEASABMACgAdgBhAGwAdQBlAHMAKQA7AHIAZQBzAHUAbAB0AHMAOwBIAFMAVABBAFAARQBMAE4AKABOAE8AUgBNAC4AUwAuAEkATgBWACgAcgBhAG4AawApADsAKAB2AGEAbAB1AGUAcwAtAG0AXwB3ACkALwBtAF8AcwApADsAVwBFAE4ATgAoAHcAaQB0AGgAXwBoAGUAYQBkAGUAcgBzADsAVgBTAFQAQQBQAEUATABOACgATQBUAFIAQQBOAFMAKAB7AFwAIgBUAGgAZQBvAHIAZQB0AGkAcwBjAGgAXAAiADsAXAAiAEcAZQBtAGUAcwBzAGUAbgBcACIAfQApADsAcgBlAHMAdQBsAHQAcwApADsAcgBlAHMAdQBsAHQAcwApACkAKQA7ADsAXABuAFEAVQBJAEMASwAuAEMATwBEAEUAPQBMAEEATQBCAEQAQQAoAHYAYQByAGkAYQBiAGwAZQA7AG8AcgBkAGUAcgBlAGQAXwB2AGEAbAB1AGUAcwA7AFgAVgBFAFIARwBMAEUASQBDAEgAKAB2AGEAcgBpAGEAYgBsAGUAOwBvAHIAZABlAHIAZQBkAF8AdgBhAGwAdQBlAHMAKQApADsAOwBcAG4AUgBBAE4ARABPAE0ALgBOAE8AUgBNAD0ATABBAE0AQgBEAEEAKABuAF8AdgBhAGwAdQBlAHMAOwBbAG0AZQBhAG4AXQA7AFsAcwBkAGUAdgBdADsATABFAFQAKABtAGUAYQBuADsAVwBFAE4ATgAoAFcAVQBSAEQARQBBAFUAUwBHAEUATABBAFMAUwBFAE4AKABtAGUAYQBuACkAOwAwADsAbQBlAGEAbgApADsAcwBkAGUAdgA7AFcARQBOAE4AKABXAFUAUgBEAEUAQQBVAFMARwBFAEwAQQBTAFMARQBOACgAcwBkAGUAdgApADsAMQA7AHMAZABlAHYAKQA7AE4ATwBSAE0ALgBpAG4AdgAoAFoAVQBGAEEATABMAFMATQBBAFQAUgBJAFgAKABuAF8AdgBhAGwAdQBlAHMAKQA7AG0AZQBhAG4AOwBzAGQAZQB2ACkAKQApADsAOwBcAG4AUgBFAEcAUgBFAFMAUwBJAE8ATgAuAFMAVABBAFQAUwA9AEwAQQBNAEIARABBACgAZABlAHAAXwB2AGEAcgA7AGkAbgBkAGUAcABfAHYAYQByADsATABFAFQAKABSAF8ASwBPAEUARgA7AFIARwBQACgAZABlAHAAXwB2AGEAcgA7AGkAbgBkAGUAcABfAHYAYQByADsAVwBBAEgAUgA7AFcAQQBIAFIAKQA7AEYAdQBuAGMAXwBrAG8AZQBmADsAWgBFAEkATABFAE4AVwBBAEgATAAoAFIAXwBLAE8ARQBGADsAMQApADsAcwBlAF8AawBvAGUAZgA7AFoARQBJAEwARQBOAFcAQQBIAEwAKABSAF8ASwBPAEUARgA7ADIAKQA7AHQAXwBWAGEAbAB1AGUAcwA7AEYAdQBuAGMAXwBrAG8AZQBmAC8AcwBlAF8AawBvAGUAZgA7AGYAXwBkAGYAOwB6AGUAaQBsAGUAbgB3AGEAaABsACgAUwBQAEEATABUAEUATgBXAEEASABMACgAUgBfAEsATwBFAEYAOwAyACkAOwA0ACkAOwBwAF8AVgBhAGwAdQBlAHMAOwBUAC4AVgBFAFIAVAAuADIAUwAoAEEAQgBTACgAdABfAFYAYQBsAHUAZQBzACkAOwBmAF8AZABmACkAOwBIAFMAVABBAFAARQBMAE4AKABWAFMAVABBAFAARQBMAE4AKABcACIASwBvAGUAZgAuAFwAIgA7AFwAIgBzAGUAXAAiADsAXAAiAHQAXAAiADsAXAAiAHAAKAB8AHQAfAApAFwAIgA7AFwAIgByADIALwByAHMAZQBcACIAOwBcACIARgBTAHQAYQB0AC4AXAAiADsAXAAiAFMAUwByAGUAcwBcACIAKQA7AFYAUwBUAEEAUABFAEwATgAoAFYAUgBFAFYARQBSAFMARQAoAEYAdQBuAGMAXwBrAG8AZQBmACkAOwBWAFIARQBWAEUAUgBTAEUAKABzAGUAXwBrAG8AZQBmACkAOwBWAFIARQBWAEUAUgBTAEUAKAB0AF8AVgBhAGwAdQBlAHMAKQA7AFYAUgBFAFYARQBSAFMARQAoAHAAXwBWAGEAbAB1AGUAcwApADsAWgBFAEkATABFAE4AVwBBAEgATAAoAFIAXwBLAE8ARQBGADsAMwA7ADQAOwA1ACkAKQApACkAKQA7ADsAXABuAFIARQBHAFIARQBTAFMASQBPAE4APQBMAEEATQBCAEQAQQAoAGQAZQBwAF8AdgBhAHIAOwBpAG4AZABlAHAAXwB2AGEAcgA7AEwARQBUACgASwBPAEUARgBNAEEAVAA7AEgAUwBUAEEAUABFAEwATgAoAFMARQBRAFUARQBOAFoAKABaAEUASQBMAEUATgAoAGQAZQBwAF8AdgBhAHIAKQA7ADEAOwAxADsAMAApADsAaQBuAGQAZQBwAF8AdgBhAHIAKQA7AFIARQBEAEQASQBNADsATQBNAFUATABUACgATQBUAFIAQQBOAFMAKABLAE8ARQBGAE0AQQBUACkAOwBLAE8ARQBGAE0AQQBUACkAOwBNAE0AVQBMAFQAKABNAE0AVQBMAFQAKABNAEkATgBWACgAUgBFAEQARABJAE0AKQA7AE0AVABSAEEATgBTACgASwBPAEUARgBNAEEAVAApACkAOwBkAGUAcABfAHYAYQByACkAKQApADsAOwBcAG4AUgBFAEcAUgBFAFMAUwBJAE8ATgAuAFIARQBTAEkARABVAEEATABTAD0ATABBAE0AQgBEAEEAKABkAGUAcABfAHYAYQByADsAaQBuAGQAZQBwAF8AdgBhAHIAOwBMAEUAVAAoAEsATwBFAEYAOwBWAFIARQBWAEUAUgBTAEUAKABNAFQAUgBBAE4AUwAoAFIARwBQACgAZABlAHAAXwB2AGEAcgA7AGkAbgBkAGUAcABfAHYAYQByACkAKQApADsASwBPAEUARgBNAEEAVAA7AEgAUwBUAEEAUABFAEwATgAoAFMARQBRAFUARQBOAFoAKABaAEUASQBMAEUATgAoAGQAZQBwAF8AdgBhAHIAKQA7ADEAOwAxADsAMAApADsAaQBuAGQAZQBwAF8AdgBhAHIAKQA7AEUAUwBUAEkATQBBAFQARQBTADsATQBNAFUATABUACgASwBPAEUARgBNAEEAVAA7AEsATwBFAEYAKQA7AEUAUwBUAEkATQBBAFQARQBTAC0AZABlAHAAXwB2AGEAcgApACkAOwA7AFIARwBQAC4AUgBFAFMASQBEAFUAQQBMAFMAPQBSAEUARwBSAEUAUwBTAEkATwBOAC4AUgBFAFMASQBEAFUAQQBMAFMAOwA7AFwAbgBSAEUATQBPAFYARQAuAEkATgBWAEEATABJAEQAPQBMAEEATQBCAEQAQQAoAHYAZQBjAHQAbwByAHMAOwBbAGUAeAB0AHIAYQBfAHYAYQBsAHUAZQBzAF0AOwBMAEUAVAAoAHYAXwBpAHYAOwB3AGUAbgBuACgAVwBVAFIARABFAEEAVQBTAEcARQBMAEEAUwBTAEUATgAoAGUAeAB0AHIAYQBfAHYAYQBsAHUAZQBzACkAOwB2AGUAYwB0AG8AcgBzADsATQBBAFIASwAuAEkATgBWAEEATABJAEQAKAB2AGUAYwB0AG8AcgBzADsAZQB4AHQAcgBhAF8AdgBhAGwAdQBlAHMAKQApADsAaQBuAHYAYQBsAGkAZAA7AE4AQQBDAEgAWgBFAEkATABFACgAdgBfAGkAdgA7AEwAQQBNAEIARABBACgAegBlAGkAbABlADsATwBEAEUAUgAoAEkAUwBUAEYARQBIAEwARQBSACgAegBlAGkAbABlACkAKQApACkAOwBGAEkATABUAEUAUgAoAHYAZQBjAHQAbwByAHMAOwBOAEkAQwBIAFQAKABpAG4AdgBhAGwAaQBkACkAKQApACkAOwA7AFwAbgBSAEUAUwBJAEQAVQBBAEwAUwA9AEwAQQBNAEIARABBACgATQBBAFQAUgBJAFgAXwBPAFIAXwBWAEEAUgA7AFsAVgBBAEwAVQBFAFMAXQA7AEwARQBUACgAUgBFAEYAXwBWAEEATABVAEUAUwA7AFcARQBOAE4AKAB3AHUAcgBkAGUAYQB1AHMAZwBlAGwAYQBzAHMAZQBuACgAVgBBAEwAVQBFAFMAKQA7AFMAUABBAEwAVABFAE4AVwBBAEgATAAoAE0AQQBUAFIASQBYAF8ATwBSAF8AVgBBAFIAOwAyACkAOwBWAEEATABVAEUAUwApADsARQBTAFQASQBNAEEAVABFAFMAOwBTAFAAQQBMAFQARQBOAFcAQQBIAEwAKABNAEEAVABSAEkAWABfAE8AUgBfAFYAQQBSADsAMQApADsAVwBFAE4ATgAoAFoARQBJAEwARQBOACgAUgBFAEYAXwBWAEEATABVAEUAUwApADwAPgBaAEUASQBMAEUATgAoAEUAUwBUAEkATQBBAFQARQBTACkAOwAjAFcARQBSAFQAIQA7AEUAUwBUAEkATQBBAFQARQBTAC0AUgBFAEYAXwBWAEEATABVAEUAUwApACkAKQA7ADsAXABuAFIATwBXAFMAVQBNAD0ATABBAE0AQgBEAEEAKABtAGEAdAByAGkAeAA7AE4AQQBDAEgAWgBFAEkATABFACgAbQBhAHQAcgBpAHgAOwBTAFUATQBNAEUAKQApADsAOwBcAG4AUwBDAEgARQBNAEEALgBDAEgATwBPAFMARQA9AEwAQQBNAEIARABBACgAZABhAHQAYQA7AHQAeQBwAGUAcwA7AFsAdAB5AHAAZQBdADsATABFAFQAKAB0AHkAcABlADsAVwBFAE4ATgAoAFcAVQBSAEQARQBBAFUAUwBHAEUATABBAFMAUwBFAE4AKAB0AHkAcABlACkAOwBcACIAbQBcACIAOwBMAEkATgBLAFMAKABLAEwARQBJAE4AKAB0AHkAcABlACkAOwAxACkAKQA7AHQAeQBwAGUAcwA7AEwASQBOAEsAUwAoAEsATABFAEkATgAoAHQAeQBwAGUAcwApADsAMQApADsAVwBFAE4ATgAoAFMAUABBAEwAVABFAE4AKABkAGEAdABhACkAPQAxADsATQBUAFIAQQBOAFMAKABGAEkATABUAEUAUgAoAGQAYQB0AGEAOwB0AHkAcABlAD0AdAB5AHAAZQBzACkAKQA7AFMAUABBAEwAVABFAE4AVwBBAEgATAAoAGQAYQB0AGEAOwBGAEkATABUAEUAUgAoAFMARQBRAFUARQBOAFoAKABBAE4AWgBBAEgATAAyACgAdAB5AHAAZQBzACkAKQA7AHQAeQBwAGUAPQB0AHkAcABlAHMAKQApACkAKQApADsAOwBcAG4AUwBFAFEAVQBFAE4AQwBFAC4AUgBBAE4ARwBFAD0ATABBAE0AQgBEAEEAKABhAF8AdgA7AFsAYgBfAG8AcgBfAHMAdABlAHAAXQA7AFsAcwB0AGUAcABdADsATABFAFQAKABhAF8AdgBzADsAWgBVAFMAUABBAEwAVABFACgAYQBfAHYAKQA7AG4AXwBhADsAQQBOAFoAQQBIAEwAKABhAF8AdgBzACkAOwBiAF8AdgA7AHcAZQBuAG4AKABVAE4ARAAoAG4AXwBhAD0AMgA7AFcAVQBSAEQARQBBAFUAUwBHAEUATABBAFMAUwBFAE4AKABiAF8AbwByAF8AcwB0AGUAcAApADsAVwBVAFIARABFAEEAVQBTAEcARQBMAEEAUwBTAEUATgAoAHMAdABlAHAAKQApADsASQBOAEQARQBYACgAYQBfAHYAcwA7ADIAOwAxACkAOwBiAF8AbwByAF8AcwB0AGUAcAApADsAcwB0AGUAcAA7AFcARQBOAE4AUwAoAFUATgBEACgAVwBVAFIARABFAEEAVQBTAEcARQBMAEEAUwBTAEUATgAoAGIAXwBvAHIAXwBzAHQAZQBwACkAOwBXAFUAUgBEAEUAQQBVAFMARwBFAEwAQQBTAFMARQBOACgAcwB0AGUAcAApACkAOwAxADsAVQBOAEQAKABuAF8AYQA9ADIAOwBXAFUAUgBEAEUAQQBVAFMARwBFAEwAQQBTAFMARQBOACgAYgBfAG8AcgBfAHMAdABlAHAAKQApADsAMQA7AG4AXwBhAD0AMgA7AGIAXwBvAHIAXwBzAHQAZQBwADsAVwBVAFIARABFAEEAVQBTAEcARQBMAEEAUwBTAEUATgAoAHMAdABlAHAAKQA7ADEAOwBXAEEASABSADsAcwB0AGUAcAApADsAYQBfAHYAOwBJAE4ARABFAFgAKABhAF8AdgBzADsAMQA7ADEAKQA7AHMAXwBkAGUAbAB0AGEAOwBHAEEATgBaAFoAQQBIAEwAKABiAF8AdgAtAGEAXwB2ACkAKwAxADsAUwBFAFEAVQBFAE4AWgAoAHMAXwBkAGUAbAB0AGEAOwAxADsAYQBfAHYAOwBzAHQAZQBwACkAKQApADsAOwBcAG4AUwBUAEEAVAAuAEMATwBSAFIARQBDAFQALgBQAFYAQQBMAFUARQA9AEwAQQBNAEIARABBACgAcABfAHYAYQBsAHUAZQA7AFsAYQBsAHQAZQByAG4AYQB0AGkAdgBlAF0AOwBMAEUAVAAoAGEAbAB0ADsAVwBFAE4ATgAoAFcAVQBSAEQARQBBAFUAUwBHAEUATABBAFMAUwBFAE4AKABhAGwAdABlAHIAbgBhAHQAaQB2AGUAKQA7AFwAIgB0AFwAIgA7AGEAbAB0AGUAcgBuAGEAdABpAHYAZQApADsAVwBFAE4ATgBGAEUASABMAEUAUgAoAEUAUgBTAFQARQBSAFcARQBSAFQAKABhAGwAdAA7AFwAIgBsAFwAIgA7AHAAXwB2AGEAbAB1AGUAOwBcACIAZwBcACIAOwAxAC0AcABfAHYAYQBsAHUAZQA7AFwAIgB0AFwAIgA7ADIAKgBNAEkATgAoAHAAXwB2AGEAbAB1AGUAOwAxAC0AcABfAHYAYQBsAHUAZQApADsAKQA7ACMAVwBFAFIAVAAhACkAKQApADsAOwBcAG4AUwBUAEEAVAAuAEQARQBTAEMAUgBJAEIARQA9AEwAQQBNAEIARABBACgAZABhAHQAYQA7AFsAdAB5AHAAZQBdADsAWwBuAGEAbQBlAHMAXQA7AFsAdwBpAHQAaABfAGwAYQBiAGUAbABzAF0AOwBMAEUAVAAoAHQAeQBwAGUAOwBXAEUATgBOACgAVwBVAFIARABFAEEAVQBTAEcARQBMAEEAUwBTAEUATgAoAHQAeQBwAGUAKQA7AFwAIgBtAFwAIgA7AGwAaQBuAGsAcwAoAEsATABFAEkATgAoAHQAeQBwAGUAKQA7ADEAKQApADsAYwBvAGwAaQBkAHMAOwBzAGUAcQB1AGUAbgB6ACgAcwBwAGEAbAB0AGUAbgAoAGQAYQB0AGEAKQApADsAdgBhAGwAcwA7AHoAZQBpAGwAZQBuAHcAYQBoAGwAKABSAEUARABVAEMARQAoAHMAZQBxAHUAZQBuAHoAKAAxADsAVwBFAE4ATgAoAHQAeQBwAGUAPQBcACIAbwBcACIAOwA1ADsAOAApACkAOwBjAG8AbABpAGQAcwA7AEwAQQBNAEIARABBACgAbABpAG4AZQBzADsAYwBvAGwAaQBkADsATABFAFQAKAByAGEAdwBfAHYAYQBsAHUAZQBzADsAcwBwAGEAbAB0AGUAbgB3AGEAaABsACgAZABhAHQAYQA7AGMAbwBsAGkAZAApADsAdgBhAGwAdQBlAHMAOwBmAGkAbAB0AGUAcgAoAHIAYQB3AF8AdgBhAGwAdQBlAHMAOwBpAHMAdAB6AGEAaABsACgAcgBhAHcAXwB2AGEAbAB1AGUAcwApACkAOwBjAG4AdABfAHIAYQB3ADsAWgBFAEkATABFAE4AKAByAGEAdwBfAHYAYQBsAHUAZQBzACkAOwBjAG4AdABfAHYAYQBsAHUAZQBzADsAQQBOAFoAQQBIAEwAKAB2AGEAbAB1AGUAcwApADsAYgBhAHMAaQBjAF8AcwB0AGEAdABzADsASABTAFQAQQBQAEUATABOACgATQBJAE4AKAB2AGEAbAB1AGUAcwApADsATQBFAEQASQBBAE4AKAB2AGEAbAB1AGUAcwApADsATQBBAFgAKAB2AGEAbAB1AGUAcwApADsAUwBUAEEAVAAuAEkAUQBSACgAdgBhAGwAdQBlAHMAKQA7AFMAVABBAFQALgBNAEEARAAoAHYAYQBsAHUAZQBzACkAKQA7AHMAZABlAHYAOwBTAFQAQQBCAFcALgBTACgAdgBhAGwAdQBlAHMAKQA7AHYAcwB0AGEAcABlAGwAbgAoAGwAaQBuAGUAcwA7AHcAZQBuAG4AKAB0AHkAcABlAD0AXAAiAG8AXAAiADsASABTAFQAQQBQAEUATABOACgAYwBuAHQAXwByAGEAdwA7AGMAbgB0AF8AdgBhAGwAdQBlAHMAOwBiAGEAcwBpAGMAXwBzAHQAYQB0AHMAKQA7AEgAUwBUAEEAUABFAEwATgAoAGMAbgB0AF8AcgBhAHcAOwBjAG4AdABfAHYAYQBsAHUAZQBzADsATQBJAFQAVABFAEwAVwBFAFIAVAAoAHYAYQBsAHUAZQBzACkAOwBzAGQAZQB2ADsAcwBkAGUAdgAvAFcAVQBSAFoARQBMACgAYwBuAHQAXwB2AGEAbAB1AGUAcwApADsAYgBhAHMAaQBjAF8AcwB0AGEAdABzACkAKQApACkAKQApADsAYwBvAGwAaQBkAHMAKwAxACkAOwBmAHUAbABsAF8AcgBlAHMAdQBsAHQAcwA7AFcARQBOAE4AUwAoAFcAVQBSAEQARQBBAFUAUwBHAEUATABBAFMAUwBFAE4AKABuAGEAbQBlAHMAKQA7AEgAUwBUAEEAUABFAEwATgAoAGMAbwBsAGkAZABzADsAdgBhAGwAcwApADsAWgBFAEkATABFAE4AKABuAGEAbQBlAHMAKQA+ADEAOwBIAFMAVABBAFAARQBMAE4AKABuAGEAbQBlAHMAOwB2AGEAbABzACkAOwBXAEEASABSADsASABTAFQAQQBQAEUATABOACgAbQB0AHIAYQBuAHMAKABuAGEAbQBlAHMAKQA7AHYAYQBsAHMAKQApADsAdwBlAG4AbgAoAE8ARABFAFIAKABXAFUAUgBEAEUAQQBVAFMARwBFAEwAQQBTAFMARQBOACgAdwBpAHQAaABfAGwAYQBiAGUAbABzACkAOwBuAGkAYwBoAHQAKAB3AGkAdABoAF8AbABhAGIAZQBsAHMAKQApADsAZgB1AGwAbABfAHIAZQBzAHUAbAB0AHMAOwBWAFMAVABBAFAARQBMAE4AKABTAFQAQQBUAC4ARABFAFMAQwBSAEkAQgBFAC4ATABBAEIARQBMAFMAKAB0AHkAcABlACkAOwBmAHUAbABsAF8AcgBlAHMAdQBsAHQAcwApACkAKQApADsAOwBcAG4AUwBUAEEAVAAuAEQARQBTAEMAUgBJAEIARQAuAEwAQQBCAEUATABTAD0ATABBAE0AQgBEAEEAKABbAHQAeQBwAGUAXQA7AEwARQBUACgAdAB5AHAAZQA7AFcARQBOAE4AKABXAFUAUgBEAEUAQQBVAFMARwBFAEwAQQBTAFMARQBOACgAdAB5AHAAZQApADsAXAAiAG0AXAAiADsATABJAE4ASwBTACgASwBMAEUASQBOACgAdAB5AHAAZQApADsAMQApACkAOwBsAGEAYgBlAGwAcwBfAGIAYQBzAGUAOwBtAHQAcgBhAG4AcwAoAHsAXAAiAGkAZABcACIAOwBcACIAbgAoAHQAbwB0AGEAbAApAFwAIgA7AFwAIgBuACgAdgBhAGwAaQBkACkAXAAiAH0AKQA7AGwAYQBiAGUAbABzAF8AbQA7AG0AdAByAGEAbgBzACgAewBcACIAbQBlAGEAbgBcACIAOwBcACIAcwB0AGQAZABlAHYAXAAiADsAXAAiAHMAdABkAGUAcgByAFwAIgB9ACkAOwBsAGEAYgBlAGwAcwBfAG8AOwBtAHQAcgBhAG4AcwAoAHsAXAAiAG0AaQBuAFwAIgA7AFwAIgBtAGUAZABpAGEAbgBcACIAOwBcACIAbQBhAHgAXAAiADsAXAAiAEkAUQBSAFwAIgA7AFwAIgBtAGEAZABcACIAfQApADsAVwBFAE4ATgAoAHQAeQBwAGUAPQBcACIAbwBcACIAOwBIAFMAVABBAFAARQBMAE4AKABsAGEAYgBlAGwAcwBfAGIAYQBzAGUAOwBsAGEAYgBlAGwAcwBfAG8AKQA7AEgAUwBUAEEAUABFAEwATgAoAGwAYQBiAGUAbABzAF8AYgBhAHMAZQA7AGwAYQBiAGUAbABzAF8AbQA7AGwAYQBiAGUAbABzAF8AbwApACkAKQApADsAOwBcAG4AUwBUAEEAVAAuAEQARQBTAEMAUgBJAEIARQAuAE4ATwBNAEkATgBBAEwAPQBMAEEATQBCAEQAQQAoAGQAYQB0AGEAOwBbAHYAYQByAGkAYQBiAGwAZQBdADsATABFAFQAKAB2AGEAcgBpAGEAYgBsAGUAOwB3AGUAbgBuACgAVwBVAFIARABFAEEAVQBTAEcARQBMAEEAUwBTAEUATgAoAHYAYQByAGkAYQBiAGwAZQApADsAXAAiAFwAIgA7AHYAYQByAGkAYQBiAGwAZQApADsAVgBTAFQAQQBQAEUATABOACgASABTAFQAQQBQAEUATABOACgAdgBhAHIAaQBhAGIAbABlADsAXAAiAEEAYgBzAG8AbAB1AHQAXAAiADsAXAAiAFIAZQBsAGEAdABpAHYAXAAiACkAOwBIAFMAVABBAFAARQBMAE4AKABTAFQAQQBUAC4AVABBAEIATABFACgAZABhAHQAYQA7AFcAQQBIAFIAKQA7AHMAdABhAHQALgB0AGEAYgBsAGUALgByAGUAbABhAHQAaQB2AGUAKABkAGEAdABhACkAKQApACkAKQA7ADsAXABuAFMAVABBAFQALgBJAFEAUgA9AEwAQQBNAEIARABBACgAdgBlAGMAdABvAHIAXwBvAHIAXwBtAGEAdAByAGkAeAA7AFMAVQBNAE0ARQAoAFEAVQBBAFIAVABJAEwARQAuAEkATgBLAEwAKAB2AGUAYwB0AG8AcgBfAG8AcgBfAG0AYQB0AHIAaQB4ADsAewAzADsAMQB9ACkAKgB7ADEAOwAtADEAfQApACkAOwA7AFwAbgBTAFQAQQBUAC4ATQBBAEQAPQBMAEEATQBCAEQAQQAoAHYAZQBjAHQAbwByAF8AbwByAF8AbQBhAHQAcgBpAHgAOwBNAEUARABJAEEATgAoAEEAQgBTACgAdgBlAGMAdABvAHIAXwBvAHIAXwBtAGEAdAByAGkAeAAtAE0ARQBEAEkAQQBOACgAdgBlAGMAdABvAHIAXwBvAHIAXwBtAGEAdAByAGkAeAApACkAKQApADsAOwBcAG4AUwBUAEEAVAAuAFAATwBPAEwARQBEAC4AVgBBAFIASQBBAE4AQwBFAD0ATABBAE0AQgBEAEEAKABkAGUAcABfAHYAYQByADsAaQBuAGQAZQBwAF8AdgBhAHIAOwBMAEUAVAAoAG4AXwBpADsAUwBUAEEAVAAuAFQAQQBCAEwARQAoAGkAbgBkAGUAcABfAHYAYQByACkALQAxADsAcwB1AG0AXwBuADsAUwBVAE0ATQBFACgAbgBfAGkAKQA7AHMAXwBpADsARwBSAE8AVQBQAC4AUwBEACgAZABlAHAAXwB2AGEAcgA7AGkAbgBkAGUAcABfAHYAYQByACkAXgAyADsAUwBVAE0ATQBFAE4AUABSAE8ARABVAEsAVAAoAG4AXwBpADsAcwBfAGkAKQAvAHMAdQBtAF8AbgApACkAOwA7AFwAbgBQAC4AQQBEAEoALgBCAE8ATgBGAEUAUgBSAE8ATgBJAD0ATABBAE0AQgBEAEEAKABwAF8AdgA7AG0AXwB2ADsAcABfAHYAKgBtAF8AdgApADsAOwBQAC4AQQBEAEoALgBIAE8ATABNAD0ATABBAE0AQgBEAEEAKABwAF8AdgA7AG0AXwB2ADsATABFAFQAKABwAF8AcwA7AFMATwBSAFQASQBFAFIARQBOACgAcABfAHYAKQA7AGkAZABfAHYAOwBTAEUAUQBVAEUATgBaACgAQQBOAFoAQQBIAEwAKABwAF8AdgApACkAOwBpAGQAXwBzADsAUwBPAFIAVABJAEUAUgBFAE4ATgBBAEMASAAoAGkAZABfAHYAOwBwAF8AdgApADsAcABfAHMAdABhAHIAOwBwAF8AcwAqACgAbQBfAHYAKwAxAC0AaQBkAF8AdgApADsAUwBPAFIAVABJAEUAUgBFAE4ATgBBAEMASAAoAHAAXwBzAHQAYQByADsAaQBkAF8AcwApACkAKQA7ADsAUAAuAEEARABKAC4AUwBJAEQAQQBLAD0ATABBAE0AQgBEAEEAKABwAF8AdgA7AG0AXwB2ADsAMQAtACgAMQAtAHAAXwB2ACkAXgBtAF8AdgApADsAOwBQAC4AQQBEAEoALgBIAE8ATABNAF8AUwBJAEQAQQBLAD0ATABBAE0AQgBEAEEAKABwAF8AdgA7AG0AXwB2ADsATABFAFQAKABwAF8AcwA7AFMATwBSAFQASQBFAFIARQBOACgAcABfAHYAKQA7AGkAZABfAHYAOwBTAEUAUQBVAEUATgBaACgAQQBOAFoAQQBIAEwAKABwAF8AdgApACkAOwBpAGQAXwBzADsAUwBPAFIAVABJAEUAUgBFAE4ATgBBAEMASAAoAGkAZABfAHYAOwBwAF8AdgApADsAcABfAHMAdABhAHIAOwAxAC0AKAAxAC0AcABfAHMAKQBeACgAbQBfAHYAKwAxAC0AaQBkAF8AdgApADsAUwBPAFIAVABJAEUAUgBFAE4ATgBBAEMASAAoAHAAXwBzAHQAYQByADsAaQBkAF8AcwApACkAKQA7ADsAUAAuAEEARABKAC4ASABPAEMASABCAEUAUgBHAD0ATABBAE0AQgBEAEEAKABwAF8AdgA7AG0AXwB2ADsATABFAFQAKABwAF8AcwA7AFMATwBSAFQASQBFAFIARQBOACgAcABfAHYAKQA7AGkAZABfAHYAOwBTAEUAUQBVAEUATgBaACgAQQBOAFoAQQBIAEwAKABwAF8AdgApACkAOwBpAGQAXwBzADsAUwBPAFIAVABJAEUAUgBFAE4ATgBBAEMASAAoAGkAZABfAHYAOwBwAF8AdgApADsAcABfAHMAdABhAHIAOwBwAF8AcwAqAG0AXwB2AC8AKABtAF8AdgArADEALQBpAGQAXwB2ACkAOwBTAE8AUgBUAEkARQBSAEUATgBOAEEAQwBIACgAcABfAHMAdABhAHIAOwBpAGQAXwBzACkAKQApADsAOwBcAG4AUwBUAEEAVAAuAFMARQA9AEwAQQBNAEIARABBACgAdgBhAGwAdQBlAHMAOwBMAEUAVAAoAHMAZABlAHYAOwBTAFQAQQBCAFcALgBTACgAdgBhAGwAdQBlAHMAKQA7AGMAbgB0AF8AdgBhAGwAdQBlAHMAOwBBAE4AWgBBAEgATAAoAHYAYQBsAHUAZQBzACkAOwBzAGQAZQB2AC8AVwBVAFIAWgBFAEwAKABjAG4AdABfAHYAYQBsAHUAZQBzACkAKQApADsAOwBTAFQAQQBUAC4AUwBUAEQALgBFAFIAUgBPAFIAPQBTAFQAQQBUAC4AUwBFADsAOwBcAG4AUwBUAEEAVAAuAFMASQBHAE4APQBMAEEATQBCAEQAQQAoAHYAYQBsAHUAZQA7AC0AMQAqACgAdgBhAGwAdQBlADwAMAApACsAKAB2AGEAbAB1AGUAPgAwACkAKQA7ADsAXABuAFMAVABBAFQALgBUAEEAQgBMAEUAPQBMAEEATQBCAEQAQQAoAGEAdgBhAGwAOwBbAGIAdgBhAGwAXwBvAHIAXwBoAGUAYQBkAGkAbgBnAF0AOwBbAGgAZQBhAGQAaQBuAGcAXQA7AEwARQBUACgAbQBkAGkAbQBfAGEAOwBaAGUAaQBsAGUAbgAoAGEAdgBhAGwAKQAtAFMAcABhAGwAdABlAG4AKABhAHYAYQBsACkAOwBhAHYAYQBsADsAdwBlAG4AbgAoAG0AZABpAG0AXwBhAD4AMAA7AHoAdQBzAHAAYQBsAHQAZQAoAGEAdgBhAGwAKQA7AHoAdQB6AGUAaQBsAGUAKABhAHYAYQBsACkAKQA7AG4AXwBhAHYAYQBsADsAQQBOAFoAQQBIAEwAMgAoAGEAdgBhAGwAKQA7AGkAZABfAGEAdgBhAGwAOwBFAEkATgBEAEUAVQBUAEkARwAoAGEAdgBhAGwAKQA7AGIAXwBwADEAOwBXAEUATgBOAFMAKABXAFUAUgBEAEUAQQBVAFMARwBFAEwAQQBTAFMARQBOACgAYgB2AGEAbABfAG8AcgBfAGgAZQBhAGQAaQBuAGcAKQA7ADAAOwBBAE4AWgBBAEgATAAyACgAYgB2AGEAbABfAG8AcgBfAGgAZQBhAGQAaQBuAGcAKQA9ADEAOwAxADsAQQBOAFoAQQBIAEwAMgAoAGIAdgBhAGwAXwBvAHIAXwBoAGUAYQBkAGkAbgBnACkAPQBuAF8AYQB2AGEAbAA7ADIAOwBXAEEASABSADsAMAApADsAaABlAGEAZABpAG4AZwA7AFcARQBOAE4AUwAoAGIAXwBwADEAPQAxADsAbgAoAGIAdgBhAGwAXwBvAHIAXwBoAGUAYQBkAGkAbgBnACkAOwBXAFUAUgBEAEUAQQBVAFMARwBFAEwAQQBTAFMARQBOACgAaABlAGEAZABpAG4AZwApADsAMAA7AFcAQQBIAFIAOwBuACgAaABlAGEAZABpAG4AZwApACkAPAA+ADAAOwBiAHYAYQBsADsAdwBlAG4AbgAoAGIAXwBwADEAPQAyADsAYgB2AGEAbABfAG8AcgBfAGgAZQBhAGQAaQBuAGcAOwB3AGUAbgBuACgAbQBkAGkAbQBfAGEAPgAwADsAVgBSAEUAUABFAEEAVAAoADEAOwBuAF8AYQB2AGEAbAApADsASABSAEUAUABFAEEAVAAoADEAOwBuAF8AYQB2AGEAbAApACkAKQA7AGkAZABfAGIAdgBhAGwAOwBNAFQAUgBBAE4AUwAoAEUASQBOAEQARQBVAFQASQBHACgAYgB2AGEAbAApACkAOwBpAGQAXwBhAHYAYQBsAFQAOwBNAFQAUgBBAE4AUwAoAGkAZABfAGEAdgBhAGwAKQA7AHIAZQBzAHUAbAB0AHMAOwBNAE0AVQBMAFQAKABtAHQAcgBhAG4AcwAoACgASQBTAFQARgBFAEgATABFAFIAKABpAGQAXwBhAHYAYQBsAFQAKQArAEkAUwBUAEYARQBIAEwARQBSACgAYQB2AGEAbAApAC0ASQBTAFQARgBFAEgATABFAFIAKABhAHYAYQBsACkAKgBJAFMAVABGAEUASABMAEUAUgAoAGkAZABfAGEAdgBhAGwAVAApACkAKgB3AGUAbgBuAGYAZQBoAGwAZQByACgARgBFAEgATABFAFIALgBUAFkAUAAoAGkAZABfAGEAdgBhAGwAVAApAD0ARgBFAEgATABFAFIALgBUAFkAUAAoAGEAdgBhAGwAKQA7ADAAKQArAHcAZQBuAG4AZgBlAGgAbABlAHIAKAAxACoAKABpAGQAXwBhAHYAYQBsAFQAPQBhAHYAYQBsACkAOwAwACkAKQA7ACgASQBTAFQARgBFAEgATABFAFIAKABpAGQAXwBiAHYAYQBsACkAKwBJAFMAVABGAEUASABMAEUAUgAoAGIAdgBhAGwAKQAtAEkAUwBUAEYARQBIAEwARQBSACgAYgB2AGEAbAApACoASQBTAFQARgBFAEgATABFAFIAKABpAGQAXwBiAHYAYQBsACkAKQAqAHcAZQBuAG4AZgBlAGgAbABlAHIAKABGAEUASABMAEUAUgAuAFQAWQBQACgAaQBkAF8AYgB2AGEAbAApAD0ARgBFAEgATABFAFIALgBUAFkAUAAoAGIAdgBhAGwAKQA7ADAAKQArAHcAZQBuAG4AZgBlAGgAbABlAHIAKAAxACoAKABpAGQAXwBiAHYAYQBsAD0AYgB2AGEAbAApADsAMAApACkAOwBXAEUATgBOACgAaABlAGEAZABpAG4AZwA7AHcAZQBuAG4AKABiAF8AcAAxAD0AMgA7AFYAUwBUAEEAUABFAEwATgAoAEgAUwBUAEEAUABFAEwATgAoAFwAIgBcACIAOwBpAGQAXwBiAHYAYQBsACkAOwBIAFMAVABBAFAARQBMAE4AKABpAGQAXwBhAHYAYQBsADsAcgBlAHMAdQBsAHQAcwApACkAOwBIAFMAVABBAFAARQBMAE4AKABpAGQAXwBhAHYAYQBsADsAcgBlAHMAdQBsAHQAcwApACkAOwByAGUAcwB1AGwAdABzACkAKQApADsAOwBcAG4AUwBUAEEAVAAuAFQAQQBCAEwARQAuAFIARQBMAEEAVABJAFYARQA9AEwAQQBNAEIARABBACgAYQB2AGEAbAA7AFsAYgB2AGEAbABfAG8AcgBfAGgAZQBhAGQAaQBuAGcAXQA7AFsAaABlAGEAZABpAG4AZwBdADsATABFAFQAKABiAF8AcAAxADsAVwBFAE4ATgBTACgAVwBVAFIARABFAEEAVQBTAEcARQBMAEEAUwBTAEUATgAoAGIAdgBhAGwAXwBvAHIAXwBoAGUAYQBkAGkAbgBnACkAOwAwADsAQQBOAFoAQQBIAEwAMgAoAGIAdgBhAGwAXwBvAHIAXwBoAGUAYQBkAGkAbgBnACkAPQAxADsAMQA7AEEATgBaAEEASABMADIAKABiAHYAYQBsAF8AbwByAF8AaABlAGEAZABpAG4AZwApAD0AQQBuAHoAYQBoAGwAMgAoAGEAdgBhAGwAKQA7ADIAOwBXAEEASABSADsAMAApADsAaABlAGEAZABpAG4AZwA7AFcARQBOAE4AUwAoAGIAXwBwADEAPQAxADsAbgAoAGIAdgBhAGwAXwBvAHIAXwBoAGUAYQBkAGkAbgBnACkAOwBXAFUAUgBEAEUAQQBVAFMARwBFAEwAQQBTAFMARQBOACgAaABlAGEAZABpAG4AZwApADsAMAA7AFcAQQBIAFIAOwBuACgAaABlAGEAZABpAG4AZwApACkAPAA+ADAAOwB0AGEAYgA7AHcAZQBuAG4AKABiAF8AcAAxAD0AMgA7AFMAVABBAFQALgBUAEEAQgBMAEUAKABhAHYAYQBsADsAYgB2AGEAbABfAG8AcgBfAGgAZQBhAGQAaQBuAGcAKQA7AFMAVABBAFQALgBUAEEAQgBMAEUAKABhAHYAYQBsACkAKQA7AHQAbwB0AGEAbABzADsAcwB1AG0AbQBlACgAdABhAGIAKQA7AHIAZQBzAHUAbAB0AHMAOwB0AGEAYgAvAHQAbwB0AGEAbABzADsAaQBkAF8AYQB2AGEAbAA7AEUASQBOAEQARQBVAFQASQBHACgAYQB2AGEAbAApADsAaQBkAF8AYgB2AGEAbAA7AFcARQBOAE4AKABiAF8AcAAxAD0AMgA7AG0AdAByAGEAbgBzACgARQBJAE4ARABFAFUAVABJAEcAKABiAHYAYQBsAF8AbwByAF8AaABlAGEAZABpAG4AZwApACkAOwAjAE4AVgApADsAdwBlAG4AbgAoAGgAZQBhAGQAaQBuAGcAOwB3AGUAbgBuACgAYgBfAHAAMQA9ADIAOwBWAFMAVABBAFAARQBMAE4AKABIAFMAVABBAFAARQBMAE4AKABcACIAXAAiADsAaQBkAF8AYgB2AGEAbAApADsASABTAFQAQQBQAEUATABOACgAaQBkAF8AYQB2AGEAbAA7AHIAZQBzAHUAbAB0AHMAKQApADsASABTAFQAQQBQAEUATABOACgAaQBkAF8AYQB2AGEAbAA7AHIAZQBzAHUAbAB0AHMAKQApADsAcgBlAHMAdQBsAHQAcwApACkAKQA7ADsAXABuAFQAQQBCAEwARQAuAFMARQBMAEUAQwBUAD0ATABBAE0AQgBEAEEAKAB0AGEAYgBfAG4AYQBtAGUAOwBjAG8AbABfAG4AYQBtAGUAcwA7AFsAdwBpAHQAaABfAGgAZQBhAGQAZQByAHMAXQA7AGwAZQB0ACgAbgBfAHIAbwB3AHMAOwBaAEUASQBMAEUATgAoAEkATgBEAEkAUgBFAEsAVAAoAHQAYQBiAF8AbgBhAG0AZQApACkAOwBjAG8AbABfAHIAZQBmAHMAOwB0AGEAYgBfAG4AYQBtAGUAJgBcACIAWwBcACIAJgBjAG8AbABfAG4AYQBtAGUAcwAmAFwAIgBdAFwAIgA7AG4AbwBfAHIAbwB3AHMAOwBzAGUAcQB1AGUAbgB6ACgAbgBfAHIAbwB3AHMAKQA7AG4AbwBfAGMAbwBsAHMAOwBzAGUAcQB1AGUAbgB6ACgAQQBOAFoAQQBIAEwAMgAoAGMAbwBsAF8AbgBhAG0AZQBzACkAKQArADEAOwBjAG8AbABfAGgAZQBhAGQAZQByAHMAOwBXAEUATgBOACgAWgBFAEkATABFAE4AKABjAG8AbABfAG4AYQBtAGUAcwApAD4AUwBQAEEATABUAEUATgAoAGMAbwBsAF8AbgBhAG0AZQBzACkAOwBNAFQAUgBBAE4AUwAoAGMAbwBsAF8AbgBhAG0AZQBzACkAOwBjAG8AbABfAG4AYQBtAGUAcwApADsAcgBlAHMAdQBsAHQAOwBTAFAAQQBMAFQARQBOAFcAQQBIAEwAKABSAEUARABVAEMARQAoAG4AbwBfAHIAbwB3AHMAOwBjAG8AbABfAHIAZQBmAHMAOwBMAEEATQBCAEQAQQAoAGEAYwBjAHUAOwBjAG8AbABfAHIAZQBmADsASABTAFQAQQBQAEUATABOACgAYQBjAGMAdQA7AEwARQBUACgAdgBhAGwAdQBlAHMAOwBJAE4ARABJAFIARQBLAFQAKABjAG8AbABfAHIAZQBmACkAOwB3AGUAbgBuACgASQBTAFQATABFAEUAUgAoAHYAYQBsAHUAZQBzACkAOwAjAE4AVgA7AHYAYQBsAHUAZQBzACkAKQApACkAKQA7AG4AbwBfAGMAbwBsAHMAKQA7AFcARQBOAE4AKABPAEQARQBSACgAVwBVAFIARABFAEEAVQBTAEcARQBMAEEAUwBTAEUATgAoAHcAaQB0AGgAXwBoAGUAYQBkAGUAcgBzACkAOwBOAEkAQwBIAFQAKAB3AGkAdABoAF8AaABlAGEAZABlAHIAcwApACkAOwByAGUAcwB1AGwAdAA7AFYAUwBUAEEAUABFAEwATgAoAGMAbwBsAF8AaABlAGEAZABlAHIAcwA7AHIAZQBzAHUAbAB0ACkAKQApACkAOwA7AFwAbgBBAE4ATwBWAEEALgBUAEUAUwBUAD0ATABBAE0AQgBEAEEAKABkAGUAcABfAHYAYQByADsAaQBuAGQAZQBwAF8AdgBhAHIAOwBbAGgAZQBhAGQAZQByAHMAXQA7AEwARQBUACgAbgBfAGoAOwBHAFIATwBVAFAALgBDAE8AVQBOAFQAKABpAG4AZABlAHAAXwB2AGEAcgApADsAZwByAG8AdQBwAF8AawA7AEEATgBaAEEASABMACgAbgBfAGoAKQA7AE4AXwBhAGwAbAA7AEEATgBaAEEASABMACgAZABlAHAAXwB2AGEAcgApADsAZABmAF8AMQA7AGcAcgBvAHUAcABfAGsALQAxADsAZABmAF8AMgA7AE4AXwBhAGwAbAAtAGcAcgBvAHUAcABfAGsAOwBtAHUAXwBhAGwAbAA7AE0ASQBUAFQARQBMAFcARQBSAFQAKABkAGUAcABfAHYAYQByACkAOwBtAHUAXwBqADsARwBSAE8AVQBQAC4ATQBFAEEATgAoAGQAZQBwAF8AdgBhAHIAOwBpAG4AZABlAHAAXwB2AGEAcgApADsAbQBfAGcAcgBvAHUAcABzADsAMQAqACgAaQBuAGQAZQBwAF8AdgBhAHIAPQBNAFQAUgBBAE4AUwAoAEcAUgBPAFUAUAAuAEwAQQBCAEUATABTACgAaQBuAGQAZQBwAF8AdgBhAHIAKQApACkAOwB0AF8AUwBTAEIAOwBTAFUATQBNAEUAKABuAF8AagAqACgAbQB1AF8AagAtAG0AdQBfAGEAbABsACkAXgAyACkAOwB0AF8AUwBTAEUAOwBTAFUATQBNAEUAKAAoAG0AXwBnAHIAbwB1AHAAcwAqAGQAZQBwAF8AdgBhAHIALQBtAF8AZwByAG8AdQBwAHMAKgBNAFQAUgBBAE4AUwAoAG0AdQBfAGoAKQApAF4AMgApADsARgBfAHYAYQBsAHUAZQA7ACgAdABfAFMAUwBCAC8AZABmAF8AMQApAC8AKAB0AF8AUwBTAEUALwBkAGYAXwAyACkAOwBwAF8AdgBhAGwAdQBlADsARgAuAFYARQBSAFQALgBSAEUAKABGAF8AdgBhAGwAdQBlADsAZABmAF8AMQA7AGQAZgBfADIAKQA7AHIAZQBzAHUAbAB0AHMAOwBIAFMAVABBAFAARQBMAE4AKABGAF8AdgBhAGwAdQBlADsAZABmAF8AMQA7AGQAZgBfADIAOwBwAF8AdgBhAGwAdQBlACkAOwB3AGUAbgBuACgAbwBkAGUAcgAoAFcAVQBSAEQARQBBAFUAUwBHAEUATABBAFMAUwBFAE4AKABoAGUAYQBkAGUAcgBzACkAOwBuAGkAYwBoAHQAKABoAGUAYQBkAGUAcgBzACkAKQA7AHIAZQBzAHUAbAB0AHMAOwBWAFMAVABBAFAARQBMAE4AKABIAFMAVABBAFAARQBMAE4AKABcACIARgBcACIAOwBcACIAZABmAF8AMQBcACIAOwBcACIAZABmAF8AMgBcACIAOwBcACIAcABcACIAKQA7AHIAZQBzAHUAbAB0AHMAKQApACkAKQA7ADsAXABuAEMASABJAFEAVQAuAFQARQBTAFQALgBTAD0ATABBAE0AQgBEAEEAKABkAGUAcABfAHYAYQByADsAaQBuAGQAZQBwAF8AdgBhAHIAOwBbAGgAZQBhAGQAZQByAF0AOwBMAEUAVAAoAG4AXwBpAGoAOwBTAFQAQQBUAC4AVABBAEIATABFACgAZABlAHAAXwB2AGEAcgA7AGkAbgBkAGUAcABfAHYAYQByACkAOwBXAEUATgBOACgAVwBVAFIARABFAEEAVQBTAEcARQBMAEEAUwBTAEUATgAoAGgAZQBhAGQAZQByACkAOwBDAEgASQBRAFUALgBUAEUAUwBUAC4AWAAoAG4AXwBpAGoAOwBGAEEATABTAEMASAApADsAQwBIAEkAUQBVAC4AVABFAFMAVAAuAFgAKABuAF8AaQBqADsAaABlAGEAZABlAHIAKQApACkAKQA7ADsAQwBIAEkAUQBVAC4AVABFAFMAVAAyAD0AQwBIAEkAUQBVAC4AVABFAFMAVAAuAFMAOwA7AFwAbgBDAEgASQBRAFUALgBUAEUAUwBUADIALgBIAEUAQQBEAEUAUgA9AEwAQQBNAEIARABBACgASABTAFQAQQBQAEUATABOACgAXAAiAHAAXAAiADsAXAAiAGQAZgBcACIAKQApADsAOwBcAG4AQwBIAEkAUQBVAC4AVABFAFMAVAAuAFgAPQBMAEEATQBCAEQAQQAoAG4AXwBpAGoAOwBbAGgAZQBhAGQAZQByAF0AOwBMAEUAVAAoAG4AXwBpADsAcgBvAHcAcwB1AG0AKABuAF8AaQBqACkAOwBuAF8AagA7AGMAbwBsAHMAdQBtACgAbgBfAGkAagApADsAbgA7AFMAVQBNAE0ARQAoAG4AXwBqACkAOwBFAFcAOwBuAF8AaQAqAG4AXwBqAC8AbgA7AHYAXwB4AGkAMgA7AFMAVQBNAE0ARQAoACgAbgBfAGkAagAtAEUAVwApAF4AMgAvAEUAVwApADsAZABmADsATQBBAFgAKABBAE4AWgBBAEgATAAoAG4AXwBpACkAOwBBAE4AWgBBAEgATAAoAG4AXwBqACkAKQAtADEAOwByAGUAcwB1AGwAdABzADsASABTAFQAQQBQAEUATABOACgAQwBIAEkAUQBVAC4AVgBFAFIAVAAuAFIARQAoAHYAXwB4AGkAMgA7AGQAZgApADsAZABmACkAOwB3AGUAbgBuACgATwBEAEUAUgAoAFcAVQBSAEQARQBBAFUAUwBHAEUATABBAFMAUwBFAE4AKABoAGUAYQBkAGUAcgApADsATgBJAEMASABUACgAaABlAGEAZABlAHIAKQApADsAcgBlAHMAdQBsAHQAcwA7AFYAUwBUAEEAUABFAEwATgAoAEMASABJAFEAVQAuAFQARQBTAFQAMgAuAEgARQBBAEQARQBSACgAKQA7AHIAZQBzAHUAbAB0AHMAKQApACkAKQA7ADsAXABuAEQAVQBOAE4ALgBUAEUAUwBUAD0ATABBAE0AQgBEAEEAKABkAGUAcABfAHYAYQByADsAaQBuAGQAZQBwAF8AdgBhAHIAOwBbAGEAZABqAHUAcwB0AG0AZQBuAHQAXQA7AEwARQBUACgAcgBhAG4AawBzADsAUgBBAE4ARwAuAE0ASQBUAFQARQBMAFcAKABkAGUAcABfAHYAYQByADsAZABlAHAAXwB2AGEAcgApADsAbgBfAGEAbABsADsAQQBOAFoAQQBIAEwAKABkAGUAcABfAHYAYQByACkAOwBuAF8AaQA7AEcAUgBPAFUAUAAuAEMATwBVAE4AVAAoAGkAbgBkAGUAcABfAHYAYQByACkAOwBnAHIAbwB1AHAAXwBpADsARQBJAE4ARABFAFUAVABJAEcAKABpAG4AZABlAHAAXwB2AGEAcgApADsAcgBhAG4AawBzAHUAbQBfAGkAOwBDAE8ATABTAFUATQAoAHIAYQBuAGsAcwAqACgAaQBuAGQAZQBwAF8AdgBhAHIAPQBNAFQAUgBBAE4AUwAoAGcAcgBvAHUAcABfAGkAKQApACkALwBNAFQAUgBBAE4AUwAoAG4AXwBpACkAOwBzAGkAZwBtAGEAXwBjAG8AcgByAGUAYwB0AGkAbwBuADsAbgBfAGEAbABsACoAKABuAF8AYQBsAGwAKwAxACkALwAxADIAOwBiAGkAbgBkAF8AYwBvAHUAbgB0ADsARwBSAE8AVQBQAC4AQwBPAFUATgBUACgAcgBhAG4AawBzACkAOwBiAGkAbgBkAF8AYwBvAHIAcgBlAGMAdABpAG8AbgA7AFMAVQBNAE0ARQAoAGIAaQBuAGQAXwBjAG8AdQBuAHQAXgAzAC0AYgBpAG4AZABfAGMAbwB1AG4AdAApAC8AKAAxADIAKgAoAG4AXwBhAGwAbAAtADEAKQApADsAbQBhAHQAXwB0AHIAaQBhAG4AZwA7AE0AVABSAEkAQQBOAEcATABFACgAQQBOAFoAQQBIAEwAKABuAF8AaQApADsARgBBAEwAUwBDAEgAOwBXAEEASABSACkAOwBtAGEAdABfAFcAMQA7AG0AYQB0AF8AdAByAGkAYQBuAGcAKgBtAHQAcgBhAG4AcwAoAHIAYQBuAGsAcwB1AG0AXwBpACkAOwBtAGEAdABfAFcAMgA7AG0AYQB0AF8AdAByAGkAYQBuAGcAKgByAGEAbgBrAHMAdQBtAF8AaQA7AG0AYQB0AF8AbgAxADsAbQBhAHQAXwB0AHIAaQBhAG4AZwAqAE0AVABSAEEATgBTACgAMQAvAG4AXwBpACkAOwBtAGEAdABfAG4AMgA7AG0AYQB0AF8AdAByAGkAYQBuAGcAKgAxAC8AbgBfAGkAOwBzAGkAZwBtAGEAOwBXAFUAUgBaAEUATAAoACgAcwBpAGcAbQBhAF8AYwBvAHIAcgBlAGMAdABpAG8AbgAtAGIAaQBuAGQAXwBjAG8AcgByAGUAYwB0AGkAbwBuACkAKgAoAG0AYQB0AF8AbgAxACsAbQBhAHQAXwBuADIAKQApADsAZABlAGwAdABhAF8AUgBTADsAbQBhAHQAXwBXADEALQBtAGEAdABfAFcAMgA7AHoAXwB2AGEAbAB1AGUAOwBkAGUAbAB0AGEAXwBSAFMALwBzAGkAZwBtAGEAOwBnAF8AbgBiAHIAOwBTAEUAUQBVAEUATgBaACgAQQBOAFoAQQBIAEwAKABuAF8AaQApACkAOwB6AF8AaQBkAF8AcgBhAHcAOwB6AHUAcwBwAGEAbAB0AGUAKABnAF8AbgBiAHIAKgBtAGEAdABfAHQAcgBpAGEAbgBnACkAOwBzAF8AaQBkAF8AcgBhAHcAOwB6AHUAcwBwAGEAbAB0AGUAKABtAHQAcgBhAG4AcwAoAGcAXwBuAGIAcgApACoAbQBhAHQAXwB0AHIAaQBhAG4AZwApADsAegBfAGkAZAA7AGYAaQBsAHQAZQByACgAegBfAGkAZABfAHIAYQB3ADsAegBfAGkAZABfAHIAYQB3ACkAOwBzAF8AaQBkADsAZgBpAGwAdABlAHIAKABzAF8AaQBkAF8AcgBhAHcAOwBzAF8AaQBkAF8AcgBhAHcAKQA7AHoAXwBmAGkAbgBhAGwAOwBpAG4AZABlAHgAKAB6AF8AdgBhAGwAdQBlADsAegBfAGkAZAA7AHMAXwBpAGQAKQA7AG0AXwBwAGEAaQByAHMAOwBzAHUAbQBtAGUAKABTAEUAUQBVAEUATgBaACgAQQBOAFoAQQBIAEwAKABuAF8AaQApADsAMQA7ADAAKQApADsAcABfAHYAYQBsAHUAZQBfAHIAYQB3ADsATgBPAFIATQAuAFMALgBWAEUAUgBUACgAdwBlAG4AbgAoAHoAXwBmAGkAbgBhAGwAPgAwADsALQAxACoAegBfAGYAaQBuAGEAbAA7AHoAXwBmAGkAbgBhAGwAKQA7AFcAQQBIAFIAKQA7AHAAXwB2AGEAbAB1AGUAOwBXAEUATgBOAFMAKABPAEQARQBSACgAVwBVAFIARABFAEEAVQBTAEcARQBMAEEAUwBTAEUATgAoAGEAZABqAHUAcwB0AG0AZQBuAHQAKQA7AEsATABFAEkATgAoAGEAZABqAHUAcwB0AG0AZQBuAHQAKQA9AFwAIgBoAG8AbABtAFwAIgApADsAUAAuAEEARABKAC4ASABPAEwATQAoAHAAXwB2AGEAbAB1AGUAXwByAGEAdwA7AG0AXwBwAGEAaQByAHMAKQA7AEsATABFAEkATgAoAGEAZABqAHUAcwB0AG0AZQBuAHQAKQA9AFwAIgBiAG8AbgBmAGUAcgByAG8AbgBpAFwAIgA7AFAALgBBAEQASgAuAEIATwBOAEYARQBSAFIATwBOAEkAKABwAF8AdgBhAGwAdQBlAF8AcgBhAHcAOwBtAF8AcABhAGkAcgBzACkAOwBLAEwARQBJAE4AKABhAGQAagB1AHMAdABtAGUAbgB0ACkAPQBcACIAaABvAGMAaABiAGUAcgBnAFwAIgA7AFAALgBBAEQASgAuAEgATwBDAEgAQgBFAFIARwAoAHAAXwB2AGEAbAB1AGUAXwByAGEAdwA7AG0AXwBwAGEAaQByAHMAKQA7AEsATABFAEkATgAoAGEAZABqAHUAcwB0AG0AZQBuAHQAKQA9AFwAIgBzAGkAZABhAGsAXAAiADsAUAAuAEEARABKAC4AUwBJAEQAQQBLACgAcABfAHYAYQBsAHUAZQBfAHIAYQB3ADsAbQBfAHAAYQBpAHIAcwApADsASwBMAEUASQBOACgAYQBkAGoAdQBzAHQAbQBlAG4AdAApAD0AXAAiAGgAbwBsAG0AcwBpAGQAYQBrAFwAIgA7AFAALgBBAEQASgAuAEgATwBMAE0AXwBTAEkARABBAEsAKABwAF8AdgBhAGwAdQBlAF8AcgBhAHcAOwBtAF8AcABhAGkAcgBzACkAOwBLAEwARQBJAE4AKABhAGQAagB1AHMAdABtAGUAbgB0ACkAPQBcACIAaABvAGwAbQAtAHMAaQBkAGEAawBcACIAOwBQAC4AQQBEAEoALgBIAE8ATABNAF8AUwBJAEQAQQBLACgAcABfAHYAYQBsAHUAZQBfAHIAYQB3ADsAbQBfAHAAYQBpAHIAcwApADsASwBMAEUASQBOACgAYQBkAGoAdQBzAHQAbQBlAG4AdAApAD0AXAAiAGgAbwBsAG0AXwBzAGkAZABhAGsAXAAiADsAUAAuAEEARABKAC4ASABPAEwATQBfAFMASQBEAEEASwAoAHAAXwB2AGEAbAB1AGUAXwByAGEAdwA7AG0AXwBwAGEAaQByAHMAKQA7AFcAQQBIAFIAOwBwAF8AdgBhAGwAdQBlAF8AcgBhAHcAKQA7AHYAcwB0AGEAcABlAGwAbgAoAEgAUwBUAEEAUABFAEwATgAoAFwAIgBBAFwAIgA7AFwAIgBCAFwAIgA7AFwAIgBTAHQAYQB0AGkAcwB0AGkAawBcACIAOwBcACIAcABcACIAKQA7AEgAUwBUAEEAUABFAEwATgAoAFoARQBJAEwARQBOAFcAQQBIAEwAKABnAHIAbwB1AHAAXwBpADsAegBfAGkAZAApADsAegBlAGkAbABlAG4AdwBhAGgAbAAoAGcAcgBvAHUAcABfAGkAOwBzAF8AaQBkACkAOwB6AF8AZgBpAG4AYQBsADsAdwBlAG4AbgAoAHAAXwB2AGEAbAB1AGUAPgAxADsAMQA7AHAAXwB2AGEAbAB1AGUAKQApACkAKQApADsAOwBcAG4ARgAuAFQARQBTAFQALgBTAD0ATABBAE0AQgBEAEEAKABkAGUAcABfAHYAYQByADsAaQBuAGQAZQBwAF8AdgBhAHIAOwBbAGgAZQBhAGQAZQByAHMAXQA7AEwARQBUACgAbABfAHUAdgA7AFoAVQBTAFAAQQBMAFQARQAoAEUASQBOAEQARQBVAFQASQBHACgAaQBuAGQAZQBwAF8AdgBhAHIAKQApADsAcgBlAHMAdQBsAHQAOwBXAEUATgBOACgAQQBOAFoAQQBIAEwAMgAoAGwAXwB1AHYAKQA9ADIAOwBGAC4AVABFAFMAVAAoAEYASQBMAFQARQBSACgAZABlAHAAXwB2AGEAcgA7AGkAbgBkAGUAcABfAHYAYQByAD0ASQBOAEQARQBYACgAaQBuAGQAZQBwAF8AdgBhAHIAOwAxADsAMQApACkAOwBGAEkATABUAEUAUgAoAGQAZQBwAF8AdgBhAHIAOwBpAG4AZABlAHAAXwB2AGEAcgA9AEkATgBEAEUAWAAoAGkAbgBkAGUAcABfAHYAYQByADsAMgA7ADEAKQApACkAOwAjAFcARQBSAFQAIQApADsAVwBFAE4ATgAoAE8ARABFAFIAKABXAFUAUgBEAEUAQQBVAFMARwBFAEwAQQBTAFMARQBOACgAaABlAGEAZABlAHIAcwApADsATgBJAEMASABUACgAaABlAGEAZABlAHIAcwApACkAOwByAGUAcwB1AGwAdAA7AFYAUwBUAEEAUABFAEwATgAoAFwAIgBwAFwAIgA7AHIAZQBzAHUAbAB0ACkAKQApACkAOwA7AFwAbgBLAFIAVQBTAEsAQQBMAF8AVwBBAEwATABJAFMALgBUAEUAUwBUAD0ATABBAE0AQgBEAEEAKABkAGUAcABfAHYAYQByADsAaQBuAGQAZQBwAF8AdgBhAHIAOwBbAGgAZQBhAGQAZQByAHMAXQA7AEwARQBUACgAbgBfAGEAbABsADsAQQBOAFoAQQBIAEwAKABkAGUAcABfAHYAYQByACkAOwBuAF8AZwByAG8AdQBwAHMAOwBBAE4AWgBBAEgATAAyACgARQBJAE4ARABFAFUAVABJAEcAKABpAG4AZABlAHAAXwB2AGEAcgApACkAOwBkAF8AZgA7AG4AXwBnAHIAbwB1AHAAcwAtADEAOwBuAF8AaAA7AEcAUgBPAFUAUAAuAEMATwBVAE4AVAAoAGkAbgBkAGUAcABfAHYAYQByACkAOwByAGEAbgBrAHMAOwBSAEEATgBHAC4ATQBJAFQAVABFAEwAVwAoAGQAZQBwAF8AdgBhAHIAOwBkAGUAcABfAHYAYQByACkAOwBiAF8AYgBpAG4AZABpAG4AZwBzADsAQQBOAFoAQQBIAEwAKABFAEkATgBEAEUAVQBUAEkARwAoAHIAYQBuAGsAcwApACkAPABuAF8AYQBsAGwAOwBoAF8AYwBvAHIAcgBlAGMAdABpAG8AbgA7AC0AMwAqACgAbgBfAGEAbABsACsAMQApADsAaABfAGYAYQBjAHQAbwByADsAMQAyAC8AKABuAF8AZwByAG8AdQBwAHMAKgAoAG4AXwBnAHIAbwB1AHAAcwArADEAKQAtAGgAXwBjAG8AcgByAGUAYwB0AGkAbwBuACkAOwBtAF8AZwByAG8AdQBwAHMAOwAxACoAKABpAG4AZABlAHAAXwB2AGEAcgA9AE0AVABSAEEATgBTACgARQBJAE4ARABFAFUAVABJAEcAKABpAG4AZABlAHAAXwB2AGEAcgApACkAKQA7AEgAXwBjAG8AcgBlADsAaABfAGYAYQBjAHQAbwByACoAUwBVAE0ATQBFACgAQwBPAEwAUwBVAE0AKABtAF8AZwByAG8AdQBwAHMAKgByAGEAbgBrAHMAKQAvAE0AVABSAEEATgBTACgAbgBfAGgAKQApADsAYgBpAG4AZABfAGYAYQBjAHQAbwByADsAMQAvACgAbgBfAGEAbABsAF4AMwAtAG4AXwBhAGwAbAApADsAYgBpAG4AZABfAGMAbwB1AG4AdAA7AEcAUgBPAFUAUAAuAEMATwBVAE4AVAAoAHIAYQBuAGsAcwApADsAYgBpAG4AZABfAGMAbwByAHIAZQBjAHQAaQBvAG4AOwAxAC0AUwBVAE0ATQBFACgAYgBpAG4AZABfAGMAbwB1AG4AdABeADMALQBiAGkAbgBkAF8AYwBvAHUAbgB0ACkAKgBiAGkAbgBkAF8AZgBhAGMAdABvAHIAOwBIAF8AdgBhAGwAdQBlADsAdwBlAG4AbgAoAGIAXwBiAGkAbgBkAGkAbgBnAHMAOwBIAF8AYwBvAHIAZQAvAGIAaQBuAGQAXwBjAG8AcgByAGUAYwB0AGkAbwBuADsASABfAGMAbwByAGUAKQA7AHAAXwB2AGEAbAB1AGUAOwBDAEgASQBRAFUALgBWAEUAUgBUAC4AUgBFACgASABfAHYAYQBsAHUAZQA7AGQAXwBmACkAOwByAGUAcwB1AGwAdABzADsASABTAFQAQQBQAEUATABOACgASABfAHYAYQBsAHUAZQA7AGQAXwBmADsAcABfAHYAYQBsAHUAZQApADsAdwBlAG4AbgAoAG8AZABlAHIAKABXAFUAUgBEAEUAQQBVAFMARwBFAEwAQQBTAFMARQBOACgAaABlAGEAZABlAHIAcwApADsAbgBpAGMAaAB0ACgAaABlAGEAZABlAHIAcwApACkAOwByAGUAcwB1AGwAdABzADsAVgBTAFQAQQBQAEUATABOACgASABTAFQAQQBQAEUATABOACgAXAAiAEgAXAAiADsAXAAiAGQAZgBcACIAOwBcACIAcABcACIAKQA7AHIAZQBzAHUAbAB0AHMAKQApACkAKQA7ADsAXABuAEwARQBWAEUATgBFAC4AVABFAFMAVAA9AEwAQQBNAEIARABBACgAZABlAHAAXwB2AGEAcgA7AGkAbgBkAGUAcABfAHYAYQByADsAWwBoAGUAYQBkAGUAcgBzAF0AOwBMAEUAVAAoAGcAcgBwAHMAOwBTAE8AUgBUAEkARQBSAEUATgAoAEUASQBOAEQARQBVAFQASQBHACgAaQBuAGQAZQBwAF8AdgBhAHIAKQApADsAbQBlAGQAcwA7AEcAUgBPAFUAUAAuAE0ARQBEAEkAQQBOACgAZABlAHAAXwB2AGEAcgA7AGkAbgBkAGUAcABfAHYAYQByACkAOwByAGUAcwBwADsAQQBCAFMAKABkAGUAcABfAHYAYQByAC0AWABWAEUAUgBXAEUASQBTACgAaQBuAGQAZQBwAF8AdgBhAHIAOwBnAHIAcABzADsAbQBlAGQAcwApACkAOwByAGUAcwB1AGwAdABzADsAQQBOAE8AVgBBAC4AVABFAFMAVAAoAHIAZQBzAHAAOwBpAG4AZABlAHAAXwB2AGEAcgApADsAdwBlAG4AbgAoAG8AZABlAHIAKABXAFUAUgBEAEUAQQBVAFMARwBFAEwAQQBTAFMARQBOACgAaABlAGEAZABlAHIAcwApADsAbgBpAGMAaAB0ACgAaABlAGEAZABlAHIAcwApACkAOwByAGUAcwB1AGwAdABzADsAVgBTAFQAQQBQAEUATABOACgASABTAFQAQQBQAEUATABOACgAXAAiAFcAXAAiADsAXAAiAGQAZgBfADEAXAAiADsAXAAiAGQAZgBfADIAXAAiADsAXAAiAHAAXAAiACkAOwByAGUAcwB1AGwAdABzACkAKQApACkAOwA7AFwAbgBQAEEASQBSAFcASQBTAEUALgBGAC4AVABFAFMAVAA9AEwAQQBNAEIARABBACgAZABlAHAAXwB2AGEAcgA7AGkAbgBkAGUAcABfAHYAYQByADsAWwBoAGUAYQBkAGUAcgBzAF0AOwBbAGEAZABqAHUAcwB0AG0AZQBuAHQAXQA7AEwARQBUACgAbgBfAGEAbABsADsAQQBOAFoAQQBIAEwAKABkAGUAcABfAHYAYQByACkAOwBnAHIAbwB1AHAAXwBuAGEAbQBlAHMAOwBFAEkATgBEAEUAVQBUAEkARwAoAGkAbgBkAGUAcABfAHYAYQByACkAOwBrAF8AYQBsAGwAOwBBAE4AWgBBAEgATAAyACgAZwByAG8AdQBwAF8AbgBhAG0AZQBzACkAOwBtAF8AdAByAGkAYQBuAGcAOwBNAFQAUgBJAEEATgBHAEwARQAoAGsAXwBhAGwAbAA7ADsAMQApADsAZwByAG8AdQBwAF8AaQBkADsAUwBFAFEAVQBFAE4AWgAoAGsAXwBhAGwAbAApADsAZwByAHAAXwAxADsAWgBVAFMAUABBAEwAVABFACgAbQBfAHQAcgBpAGEAbgBnACoAZwByAG8AdQBwAF8AaQBkACkAOwBnAHIAcABfADIAOwBaAFUAUwBQAEEATABUAEUAKABtAF8AdAByAGkAYQBuAGcAKgBNAFQAUgBBAE4AUwAoAGcAcgBvAHUAcABfAGkAZAApACkAOwBnADEAXwBpAGQAOwBmAGkAbAB0AGUAcgAoAGcAcgBwAF8AMQA7AGcAcgBwAF8AMQApADsAZwAyAF8AaQBkADsAZgBpAGwAdABlAHIAKABnAHIAcABfADIAOwBnAHIAcABfADIAKQA7AGcAMQBfAG4AYQBtAGUAcwA7AEkATgBEAEUAWAAoAGcAcgBvAHUAcABfAG4AYQBtAGUAcwA7AGcAMQBfAGkAZAApADsAZwAyAF8AbgBhAG0AZQBzADsASQBOAEQARQBYACgAZwByAG8AdQBwAF8AbgBhAG0AZQBzADsAZwAyAF8AaQBkACkAOwBwAF8AdgBhAGwAdQBlAHMAOwBtAGEAcAAoAGcAMQBfAG4AYQBtAGUAcwA7AGcAMgBfAG4AYQBtAGUAcwA7AEwAQQBNAEIARABBACgAYQBfAHYAOwBiAF8AdgA7AEYALgBUAEUAUwBUACgAZgBpAGwAdABlAHIAKABkAGUAcABfAHYAYQByADsAKABpAG4AZABlAHAAXwB2AGEAcgA9AGEAXwB2ACkAKwAoAGkAbgBkAGUAcABfAHYAYQByAD0AYgBfAHYAKQApADsAZgBpAGwAdABlAHIAKABpAG4AZABlAHAAXwB2AGEAcgA7ACgAaQBuAGQAZQBwAF8AdgBhAHIAPQBhAF8AdgApACsAKABpAG4AZABlAHAAXwB2AGEAcgA9AGIAXwB2ACkAKQApACkAKQA7AHAAXwB2AGEAbAB1AGUAXwByAGEAdwA7AHAAXwB2AGEAbAB1AGUAcwA7AHAAXwBzAHQAYQByADsAMgAqAFcARQBOAE4AUwAoAFcAVQBSAEQARQBBAFUAUwBHAEUATABBAFMAUwBFAE4AKABhAGQAagB1AHMAdABtAGUAbgB0ACkAOwBQAC4AQQBEAEoALgBCAE8ATgBGAEUAUgBSAE8ATgBJACgAcABfAHYAYQBsAHUAZQBfAHIAYQB3ADsAawBfAGEAbABsACkAOwBLAEwARQBJAE4AKABhAGQAagB1AHMAdABtAGUAbgB0ACkAPQBcACIAaABvAGwAbQBcACIAOwBQAC4AQQBEAEoALgBIAE8ATABNACgAcABfAHYAYQBsAHUAZQBfAHIAYQB3ADsAawBfAGEAbABsACkAOwBLAEwARQBJAE4AKABhAGQAagB1AHMAdABtAGUAbgB0ACkAPQBcACIAYgBvAG4AZgBlAHIAcgBvAG4AaQBcACIAOwBQAC4AQQBEAEoALgBCAE8ATgBGAEUAUgBSAE8ATgBJACgAcABfAHYAYQBsAHUAZQBfAHIAYQB3ADsAawBfAGEAbABsACkAOwBLAEwARQBJAE4AKABhAGQAagB1AHMAdABtAGUAbgB0ACkAPQBcACIAaABvAGMAaABiAGUAcgBnAFwAIgA7AFAALgBBAEQASgAuAEgATwBDAEgAQgBFAFIARwAoAHAAXwB2AGEAbAB1AGUAXwByAGEAdwA7AGsAXwBhAGwAbAApADsASwBMAEUASQBOACgAYQBkAGoAdQBzAHQAbQBlAG4AdAApAD0AXAAiAHMAaQBkAGEAawBcACIAOwBQAC4AQQBEAEoALgBTAEkARABBAEsAKABwAF8AdgBhAGwAdQBlAF8AcgBhAHcAOwBrAF8AYQBsAGwAKQA7AEsATABFAEkATgAoAGEAZABqAHUAcwB0AG0AZQBuAHQAKQA9AFwAIgBoAG8AbABtAHMAaQBkAGEAawBcACIAOwBQAC4AQQBEAEoALgBIAE8ATABNAF8AUwBJAEQAQQBLACgAcABfAHYAYQBsAHUAZQBfAHIAYQB3ADsAawBfAGEAbABsACkAOwBLAEwARQBJAE4AKABhAGQAagB1AHMAdABtAGUAbgB0ACkAPQBcACIAaABvAGwAbQAtAHMAaQBkAGEAawBcACIAOwBQAC4AQQBEAEoALgBIAE8ATABNAF8AUwBJAEQAQQBLACgAcABfAHYAYQBsAHUAZQBfAHIAYQB3ADsAawBfAGEAbABsACkAOwBLAEwARQBJAE4AKABhAGQAagB1AHMAdABtAGUAbgB0ACkAPQBcACIAaABvAGwAbQBfAHMAaQBkAGEAawBcACIAOwBQAC4AQQBEAEoALgBIAE8ATABNAF8AUwBJAEQAQQBLACgAcABfAHYAYQBsAHUAZQBfAHIAYQB3ADsAawBfAGEAbABsACkAOwBXAEEASABSADsAcABfAHYAYQBsAHUAZQBfAHIAYQB3ACkAOwByAGUAcwB1AGwAdAA7AEYASQBMAFQARQBSACgAaABzAHQAYQBwAGUAbABuACgAZwAxAF8AbgBhAG0AZQBzADsAZwAyAF8AbgBhAG0AZQBzADsAdwBlAG4AbgAoAHAAXwBzAHQAYQByAD4AMQA7ADEAOwBwAF8AcwB0AGEAcgApACkAOwBnADEAXwBuAGEAbQBlAHMAPAA+AGcAMgBfAG4AYQBtAGUAcwApADsAdwBlAG4AbgAoAE8ARABFAFIAKABXAFUAUgBEAEUAQQBVAFMARwBFAEwAQQBTAFMARQBOACgAaABlAGEAZABlAHIAcwApADsATgBJAEMASABUACgAaABlAGEAZABlAHIAcwApACkAOwByAGUAcwB1AGwAdAA7AFYAUwBUAEEAUABFAEwATgAoAHsAXAAiAGcAMQBcACIAOwBcACIAZwAyAFwAIgA7AFwAIgBwAFwAIgB9ADsAcgBlAHMAdQBsAHQAKQApACkAKQA7ADsAXABuAFAAQQBJAFIAVwBJAFMARQAuAFQALgBUAEUAUwBUAD0ATABBAE0AQgBEAEEAKABkAGUAcABfAHYAYQByADsAaQBuAGQAZQBwAF8AdgBhAHIAOwBbAGgAZQBhAGQAZQByAHMAXQA7AFsAYQBkAGoAdQBzAHQAbQBlAG4AdABdADsATABFAFQAKABuAF8AYQBsAGwAOwBBAE4AWgBBAEgATAAoAGQAZQBwAF8AdgBhAHIAKQA7AGcAcgBvAHUAcABfAG4AYQBtAGUAcwA7AEUASQBOAEQARQBVAFQASQBHACgAaQBuAGQAZQBwAF8AdgBhAHIAKQA7AGsAXwBhAGwAbAA7AEEATgBaAEEASABMADIAKABnAHIAbwB1AHAAXwBuAGEAbQBlAHMAKQA7AG0AXwB0AHIAaQBhAG4AZwA7AE0AVABSAEkAQQBOAEcATABFACgAawBfAGEAbABsADsAOwAxACkAOwBnAHIAbwB1AHAAXwBpAGQAOwBTAEUAUQBVAEUATgBaACgAawBfAGEAbABsACkAOwBnAHIAcABfADEAOwBaAFUAUwBQAEEATABUAEUAKABtAF8AdAByAGkAYQBuAGcAKgBnAHIAbwB1AHAAXwBpAGQAKQA7AGcAcgBwAF8AMgA7AFoAVQBTAFAAQQBMAFQARQAoAG0AXwB0AHIAaQBhAG4AZwAqAE0AVABSAEEATgBTACgAZwByAG8AdQBwAF8AaQBkACkAKQA7AGcAMQBfAGkAZAA7AGYAaQBsAHQAZQByACgAZwByAHAAXwAxADsAZwByAHAAXwAxACkAOwBnADIAXwBpAGQAOwBmAGkAbAB0AGUAcgAoAGcAcgBwAF8AMgA7AGcAcgBwAF8AMgApADsAZwAxAF8AbgBhAG0AZQBzADsASQBOAEQARQBYACgAZwByAG8AdQBwAF8AbgBhAG0AZQBzADsAZwAxAF8AaQBkACkAOwBnADIAXwBuAGEAbQBlAHMAOwBJAE4ARABFAFgAKABnAHIAbwB1AHAAXwBuAGEAbQBlAHMAOwBnADIAXwBpAGQAKQA7AHAAXwBkAGUAcABfAHYAYQByADsAbQBhAHAAKABnADEAXwBuAGEAbQBlAHMAOwBnADIAXwBuAGEAbQBlAHMAOwBMAEEATQBCAEQAQQAoAGEAXwB2ADsAYgBfAHYAOwBUAC4AVABFAFMAVAAoAGYAaQBsAHQAZQByACgAZABlAHAAXwB2AGEAcgA7AGkAbgBkAGUAcABfAHYAYQByAD0AYQBfAHYAKQA7AGYAaQBsAHQAZQByACgAZABlAHAAXwB2AGEAcgA7AGkAbgBkAGUAcABfAHYAYQByAD0AYgBfAHYAKQA7ADIAOwAzACkAKQApADsAcABfAHYAYQBsAHUAZQBfAHIAYQB3ADsAdwBlAG4AbgAoAHAAXwBkAGUAcABfAHYAYQByAD4AMAAuADUAOwAxAC0AcABfAGQAZQBwAF8AdgBhAHIAOwBwAF8AZABlAHAAXwB2AGEAcgApADsAcABfAHMAdABhAHIAOwAyACoAVwBFAE4ATgBTACgAVwBVAFIARABFAEEAVQBTAEcARQBMAEEAUwBTAEUATgAoAGEAZABqAHUAcwB0AG0AZQBuAHQAKQA7AFAALgBBAEQASgAuAEIATwBOAEYARQBSAFIATwBOAEkAKABwAF8AdgBhAGwAdQBlAF8AcgBhAHcAOwBrAF8AYQBsAGwAKQA7AEsATABFAEkATgAoAGEAZABqAHUAcwB0AG0AZQBuAHQAKQA9AFwAIgBoAG8AbABtAFwAIgA7AFAALgBBAEQASgAuAEgATwBMAE0AKABwAF8AdgBhAGwAdQBlAF8AcgBhAHcAOwBrAF8AYQBsAGwAKQA7AEsATABFAEkATgAoAGEAZABqAHUAcwB0AG0AZQBuAHQAKQA9AFwAIgBiAG8AbgBmAGUAcgByAG8AbgBpAFwAIgA7AFAALgBBAEQASgAuAEIATwBOAEYARQBSAFIATwBOAEkAKABwAF8AdgBhAGwAdQBlAF8AcgBhAHcAOwBrAF8AYQBsAGwAKQA7AEsATABFAEkATgAoAGEAZABqAHUAcwB0AG0AZQBuAHQAKQA9AFwAIgBoAG8AYwBoAGIAZQByAGcAXAAiADsAUAAuAEEARABKAC4ASABPAEMASABCAEUAUgBHACgAcABfAHYAYQBsAHUAZQBfAHIAYQB3ADsAawBfAGEAbABsACkAOwBLAEwARQBJAE4AKABhAGQAagB1AHMAdABtAGUAbgB0ACkAPQBcACIAcwBpAGQAYQBrAFwAIgA7AFAALgBBAEQASgAuAFMASQBEAEEASwAoAHAAXwB2AGEAbAB1AGUAXwByAGEAdwA7AGsAXwBhAGwAbAApADsASwBMAEUASQBOACgAYQBkAGoAdQBzAHQAbQBlAG4AdAApAD0AXAAiAGgAbwBsAG0AcwBpAGQAYQBrAFwAIgA7AFAALgBBAEQASgAuAEgATwBMAE0AXwBTAEkARABBAEsAKABwAF8AdgBhAGwAdQBlAF8AcgBhAHcAOwBrAF8AYQBsAGwAKQA7AEsATABFAEkATgAoAGEAZABqAHUAcwB0AG0AZQBuAHQAKQA9AFwAIgBoAG8AbABtAC0AcwBpAGQAYQBrAFwAIgA7AFAALgBBAEQASgAuAEgATwBMAE0AXwBTAEkARABBAEsAKABwAF8AdgBhAGwAdQBlAF8AcgBhAHcAOwBrAF8AYQBsAGwAKQA7AEsATABFAEkATgAoAGEAZABqAHUAcwB0AG0AZQBuAHQAKQA9AFwAIgBoAG8AbABtAF8AcwBpAGQAYQBrAFwAIgA7AFAALgBBAEQASgAuAEgATwBMAE0AXwBTAEkARABBAEsAKABwAF8AdgBhAGwAdQBlAF8AcgBhAHcAOwBrAF8AYQBsAGwAKQA7AFcAQQBIAFIAOwBwAF8AdgBhAGwAdQBlAF8AcgBhAHcAKQA7AHIAZQBzAHUAbAB0ADsAZgBpAGwAdABlAHIAKABoAHMAdABhAHAAZQBsAG4AKABnADEAXwBuAGEAbQBlAHMAOwBnADIAXwBuAGEAbQBlAHMAOwB3AGUAbgBuACgAcABfAHMAdABhAHIAPgAxADsAMQA7AHAAXwBzAHQAYQByACkAKQA7AGcAMQBfAG4AYQBtAGUAcwA8AD4AZwAyAF8AbgBhAG0AZQBzACkAOwB3AGUAbgBuACgATwBEAEUAUgAoAFcAVQBSAEQARQBBAFUAUwBHAEUATABBAFMAUwBFAE4AKABoAGUAYQBkAGUAcgBzACkAOwBOAEkAQwBIAFQAKABoAGUAYQBkAGUAcgBzACkAKQA7AHIAZQBzAHUAbAB0ADsAVgBTAFQAQQBQAEUATABOACgAewBcACIAZwAxAFwAIgA7AFwAIgBnADIAXAAiADsAXAAiAHAAXAAiAH0AOwByAGUAcwB1AGwAdAApACkAKQApADsAOwBcAG4AVAAuAFQARQBTAFQALgBTAD0ATABBAE0AQgBEAEEAKABkAGUAcABfAHYAYQByADsAaQBuAGQAZQBwAF8AdgBhAHIAOwBbAGEAbAB0AGUAcgBuAGEAdABpAHYAZQBdADsAWwBwAGEAaQByAGUAZABdADsATABFAFQAKABhAGIAXwBuAGEAbQBlAHMAOwBFAEkATgBEAEUAVQBUAEkARwAoAGkAbgBkAGUAcABfAHYAYQByACkAOwBwAGEAaQByAGUAZAA7AFcARQBOAE4AKABXAFUAUgBEAEUAQQBVAFMARwBFAEwAQQBTAFMARQBOACgAcABhAGkAcgBlAGQAKQA7ADMAOwB3AGUAbgBuACgAcABhAGkAcgBlAGQAOwAxADsAMwApACkAOwBhAGwAdABlAHIAbgBhAHQAaQB2AGUAOwBXAEUATgBOACgAVwBVAFIARABFAEEAVQBTAEcARQBMAEEAUwBTAEUATgAoAGEAbAB0AGUAcgBuAGEAdABpAHYAZQApADsAXAAiAHQAXAAiADsAUABSAEUAUAAuAEEATABUAEUAUgBOAEEAVABJAFYARQAoAGEAbAB0AGUAcgBuAGEAdABpAHYAZQApACkAOwBhAGwAdABWADsAMQArACgAYQBsAHQAZQByAG4AYQB0AGkAdgBlAD0AXAAiAHQAXAAiACkAOwBhAGwAdABPADsAYQBsAHQAZQByAG4AYQB0AGkAdgBlAD0AXAAiAGcAXAAiADsAZwBfADEAOwBaAEUASQBMAEUATgBXAEEASABMACgAYQBiAF8AbgBhAG0AZQBzADsAMQApADsAZwBfADIAOwBaAEUASQBMAEUATgBXAEEASABMACgAYQBiAF8AbgBhAG0AZQBzADsAMgApADsAcABfAHYAOwBXAEUATgBOACgAQQBOAFoAQQBIAEwAMgAoAGEAYgBfAG4AYQBtAGUAcwApAD0AMgA7AFQALgBUAEUAUwBUACgARgBJAEwAVABFAFIAKABkAGUAcABfAHYAYQByADsAaQBuAGQAZQBwAF8AdgBhAHIAPQBnAF8AMQApADsARgBJAEwAVABFAFIAKABkAGUAcABfAHYAYQByADsAaQBuAGQAZQBwAF8AdgBhAHIAPQBnAF8AMgApADsAYQBsAHQAVgA7AHAAYQBpAHIAZQBkACkAOwAjAFcARQBSAFQAIQApADsAbQB3AF8AMQA7AE0ASQBUAFQARQBMAFcARQBSAFQAKABGAEkATABUAEUAUgAoAGQAZQBwAF8AdgBhAHIAOwBpAG4AZABlAHAAXwB2AGEAcgA9AGcAXwAxACkAKQA7AG0AdwBfADIAOwBNAEkAVABUAEUATABXAEUAUgBUACgARgBJAEwAVABFAFIAKABkAGUAcABfAHYAYQByADsAaQBuAGQAZQBwAF8AdgBhAHIAPQBnAF8AMgApACkAOwBIAFMAVABBAFAARQBMAE4AKABXAEUATgBOACgATwBEAEUAUgAoAFUATgBEACgAYQBsAHQATwA7AG0AdwBfADEAPABtAHcAXwAyACkAOwBVAE4ARAAoAGEAbAB0AGUAcgBuAGEAdABpAHYAZQA9AFwAIgBsAFwAIgA7AG0AdwBfADEAPgBtAHcAXwAyACkAKQA7ADEALQBwAF8AdgA7AHAAXwB2ACkAOwBUAEUAWABUAFYARQBSAEsARQBUAFQARQBOACgAZQByAHMAdABlAHIAdwBlAHIAdAAoAGEAbAB0AGUAcgBuAGEAdABpAHYAZQA7AFwAIgB0AFwAIgA7AFwAIgA8AD4AXAAiADsAXAAiAGwAXAAiADsAXAAiADwAXAAiADsAXAAiAGcAXAAiADsAXAAiAD4AXAAiACkAOwA7AGEAYgBfAG4AYQBtAGUAcwApACkAKQApADsAOwBcAG4AVwBJAEwAQwBPAFgATwBOAC4AVABFAFMAVAA9AEwAQQBNAEIARABBACgAZABlAHAAXwB2AGEAcgA7AGkAbgBkAGUAcABfAHYAYQByADsAWwBhAGwAdABlAHIAbgBhAHQAaQB2AGUAXQA7AFsAcABhAGkAcgBlAGQAXQA7AFsAYwBvAHIAcgBlAGMAdABdADsATABFAFQAKABhAGwAdABlAHIAbgBhAHQAaQB2AGUAOwB3AGUAbgBuACgAVwBVAFIARABFAEEAVQBTAEcARQBMAEEAUwBTAEUATgAoAGEAbAB0AGUAcgBuAGEAdABpAHYAZQApADsAXAAiAHQAXAAiADsAUABSAEUAUAAuAEEATABUAEUAUgBOAEEAVABJAFYARQAoAGEAbAB0AGUAcgBuAGEAdABpAHYAZQApACkAOwBjAG8AcgByAGUAYwB0ADsAdwBlAG4AbgAoAFcAVQBSAEQARQBBAFUAUwBHAEUATABBAFMAUwBFAE4AKABjAG8AcgByAGUAYwB0ACkAOwBXAEEASABSADsAYwBvAHIAcgBlAGMAdAApADsAcABhAGkAcgBlAGQAOwBXAEUATgBOACgAVwBVAFIARABFAEEAVQBTAEcARQBMAEEAUwBTAEUATgAoAHAAYQBpAHIAZQBkACkAOwBGAEEATABTAEMASAA7AHAAYQBpAHIAZQBkACkAOwBhAGIAXwBuAGEAbQBlAHMAOwBFAEkATgBEAEUAVQBUAEkARwAoAGkAbgBkAGUAcABfAHYAYQByACkAOwBhAGIAXwBuADsAQQBOAFoAQQBIAEwAMgAoAGEAYgBfAG4AYQBtAGUAcwApADsAbgBfAGEAYgA7AEcAUgBPAFUAUAAuAEMATwBVAE4AVAAoAGkAbgBkAGUAcABfAHYAYQByACkAOwB3AGUAbgBuACgAVQBOAEQAKABhAGIAXwBuAD0AMgA7AG4AXwBhAGIAPgAxADsATwBEAEUAUgAoAE4ASQBDAEgAVAAoAHAAYQBpAHIAZQBkACkAOwBJAFMALgBBAEwATAAuAEUAUQBVAEEATAAoAG4AXwBhAGIAKQApACkAOwBMAEUAVAAoAHIAYQBuAGsAOwBSAEEATgBHAC4ATQBJAFQAVABFAEwAVwAoAGQAZQBwAF8AdgBhAHIAOwBkAGUAcABfAHYAYQByACkAOwBTAFQAQQBUAEkAUwBUAEkAQwA7AE0ASQBOACgARwBSAE8AVQBQAC4AUwBVAE0AKAByAGEAbgBrADsAaQBuAGQAZQBwAF8AdgBhAHIAKQAtAG4AXwBhAGIAKgAoAG4AXwBhAGIAKwAxACkALwAyACkAOwBwAHIAbwBkAF8AYQBiADsAUABSAE8ARABVAEsAVAAoAG4AXwBhAGIAKQA7AHMAdQBtAF8AYQBiADsAUwBVAE0ATQBFACgAbgBfAGEAYgApADsAegBfAHYAYQBsAHUAZQA7AFMAVABBAFQASQBTAFQASQBDAC0AcAByAG8AZABfAGEAYgAvADIAOwBjAG8AcgByAGUAYwB0AFQAaQBlAHMAOwAoAEEATgBaAEEASABMACgARQBJAE4ARABFAFUAVABJAEcAKAByAGEAbgBrACkAKQA8AEEATgBaAEEASABMACgAcgBhAG4AawApACkAKgBMAEUAVAAoAE4AVABJAEUAUwA7AFMAVABBAFQALgBUAEEAQgBMAEUAKAByAGEAbgBrACkAOwBTAFUATQBNAEUAKABOAFQASQBFAFMAXgAzAC0ATgBUAEkARQBTACkALwAoAHMAdQBtAF8AYQBiACoAKABzAHUAbQBfAGEAYgAtADEAKQApACkAOwBTAEkARwBNAEEAOwBXAFUAUgBaAEUATAAoACgAcAByAG8AZABfAGEAYgAqACgAKABzAHUAbQBfAGEAYgArADEAKQAtAGMAbwByAHIAZQBjAHQAVABpAGUAcwApACkALwAxADIAKQA7AGMAbwByAHIAZQBjAHQAaQBvAG4AXwB2AGEAbAB1AGUAOwBjAG8AcgByAGUAYwB0ACoARQBSAFMAVABFAFIAVwBFAFIAVAAoAGEAbAB0AGUAcgBuAGEAdABpAHYAZQA7AFwAIgB0AFwAIgA7AFMAVABBAFQALgBTAEkARwBOACgAegBfAHYAYQBsAHUAZQApACoAMAAuADUAOwBcACIAbABcACIAOwAtADAALgA1ADsAXAAiAGcAXAAiADsAMAAuADUAOwApADsAWgBWAEEATAA7ACgAegBfAHYAYQBsAHUAZQAtAGMAbwByAHIAZQBjAHQAaQBvAG4AXwB2AGEAbAB1AGUAKQAvAFMASQBHAE0AQQA7AFAAVgBBAEwAOwBTAFQAQQBUAC4AQwBPAFIAUgBFAEMAVAAuAFAAVgBBAEwAVQBFACgATgBPAFIATQAuAFYARQBSAFQAKABaAFYAQQBMADsAMAA7ADEAOwBXAEEASABSACkAKQA7AFYAUwBUAEEAUABFAEwATgAoAEgAUwBUAEEAUABFAEwATgAoAFwAIgBTAHQAYQB0AGkAcwB0AGkAawBcACIAOwBcACIAWgAtAFcAZQByAHQAXAAiADsAXAAiAHAALQBXAGUAcgB0AFwAIgA7AFwAIgBBAGwAdABlAHIAbgBhAHQAaQB2AGUAXAAiACkAOwBIAFMAVABBAFAARQBMAE4AKABTAFQAQQBUAEkAUwBUAEkAQwA7AFoAVgBBAEwAOwBQAFYAQQBMADsAVABFAFgAVABWAEUAUgBLAEUAVABUAEUATgAoAGUAcgBzAHQAZQByAHcAZQByAHQAKABhAGwAdABlAHIAbgBhAHQAaQB2AGUAOwBcACIAdABcACIAOwBcACIAPAA+AFwAIgA7AFwAIgBsAFwAIgA7AFwAIgA8AFwAIgA7AFwAIgBnAFwAIgA7AFwAIgA+AFwAIgApADsAOwBhAGIAXwBuAGEAbQBlAHMAKQApACkAKQA7ACMAVwBFAFIAVAAhACkAKQApADsAOwBcAG4AVgBMAEUATgBHAFQASAA9AEwAQQBNAEIARABBACgAdgBlAGMAdABvAHIAOwBMAEUAVAAoAGMAbwBsAHMAOwBTAFAAQQBMAFQARQBOACgAdgBlAGMAdABvAHIAKQA7AGwAZQBuAGcAdABoADsASQBTAC4AVgBFAEMAVABPAFIAKAB2AGUAYwB0AG8AcgApACoAKABjAG8AbABzACoAKABjAG8AbABzADwAPgAxACkAKwBaAEUASQBMAEUATgAoAHYAZQBjAHQAbwByACkAKgAoAGMAbwBsAHMAPQAxACkAKQA7AHcAZQBuAG4AKABsAGUAbgBnAHQAaAA7AGwAZQBuAGcAdABoADsAIwBXAEUAUgBUACEAKQApACkAOwA7AFwAbgBWAFIARQBQAEUAQQBUAD0ATABBAE0AQgBEAEEAKAB2AGEAbAB1AGUAOwBuAF8AdABpAG0AZQBzADsAVwBFAE4ATgAoAFUATgBEACgAQQBOAFoAQQBIAEwAMgAoAHYAYQBsAHUAZQApAD0AMQA7AEEATgBaAEEASABMACgAbgBfAHQAaQBtAGUAcwApAD0AMQA7AG4AXwB0AGkAbQBlAHMAPgAwACkAOwBXAEUATgBOACgASQBTAFQAWgBBAEgATAAoAHYAYQBsAHUAZQApACsASQBTAFQATABPAEcAKAB2AGEAbAB1AGUAKQA7AFMARQBRAFUARQBOAFoAKABuAF8AdABpAG0AZQBzADsAMQA7AHYAYQBsAHUAZQA7ADAAKQA7AFcARQBOAE4AKABTAEUAUQBVAEUATgBaACgAbgBfAHQAaQBtAGUAcwApADsAdgBhAGwAdQBlACkAKQA7ACMAVwBFAFIAVAAhACkAKQA7ADsAXABuAFYAUgBFAFYARQBSAFMARQA9AEwAQQBNAEIARABBACgAdgBlAGsAdABvAHIAOwBMAEUAVAAoAHYAXwBsAGUAbgBnAHQAaAA7AFYATABFAE4ARwBUAEgAKAB2AGUAawB0AG8AcgApADsAdgBfAHAAbwBzADsAUwBFAFEAVQBFAE4AWgAoAHYAXwBsAGUAbgBnAHQAaAA7ADEAOwB2AF8AbABlAG4AZwB0AGgAOwAtADEAKQA7AFcARQBOAE4AKABTAFAAQQBMAFQARQBOACgAdgBlAGsAdABvAHIAKQA9AHYAXwBsAGUAbgBnAHQAaAA7AFMAUABBAEwAVABFAE4AVwBBAEgATAAoAHYAZQBrAHQAbwByADsAdgBfAHAAbwBzACkAOwBaAEUASQBMAEUATgBXAEEASABMACgAdgBlAGsAdABvAHIAOwB2AF8AcABvAHMAKQApACkAKQA7ADsAVgBFAEsAVABPAFIALgBVAE0ASwBFAEgAUgBFAE4APQBWAFIARQBWAEUAUgBTAEUAOwA7AFwAbgBTAFQAQQBUAC4ARABFAFMASwBSAEkAUABUAEkAVgA9AGwAYQBtAGIAZABhACgAZABhAHQAZQBuADsAWwBzAGsAYQBsAGUAbgBuAGkAdgBlAGEAdQBdADsAWwBuAGEAbQBlAG4AXQA7AFsAbQBpAHQAXwD8AGUAYgBlAHIAcwBjAGgAcgBpAGYAdABdADsATABFAFQAKAB0AHkAcABlADsAVwBFAE4ATgAoAHcAdQByAGQAZQBhAHUAcwBnAGUAbABhAHMAcwBlAG4AKABzAGsAYQBsAGUAbgBuAGkAdgBlAGEAdQApADsAXAAiAG0AXAAiADsAcwBrAGEAbABlAG4AbgBpAHYAZQBhAHUAKQA7AGwAYQBiAGUAbABzADsAVwBFAE4ATgAoAFcAVQBSAEQARQBBAFUAUwBHAEUATABBAFMAUwBFAE4AKABtAGkAdABfAPwAYgBlAHIAcwBjAGgAcgBpAGYAdAApADsARgBBAEwAUwBDAEgAOwBtAGkAdABfAPwAYgBlAHIAcwBjAGgAcgBpAGYAdAApADsAVwBFAE4ATgAoAFcAVQBSAEQARQBBAFUAUwBHAEUATABBAFMAUwBFAE4AKABuAGEAbQBlAG4AKQA7AFMAVABBAFQALgBEAEUAUwBDAFIASQBCAEUAKABkAGEAdABlAG4AOwB0AHkAcABlADsAOwBtAGkAdABfAPwAZQBiAGUAcgBzAGMAaAByAGkAZgB0ACkAOwBTAFQAQQBUAC4ARABFAFMAQwBSAEkAQgBFACgAZABhAHQAZQBuADsAdAB5AHAAZQA7AG4AYQBtAGUAbgA7AG0AaQB0AF8A/ABlAGIAZQByAHMAYwBoAHIAaQBmAHQAKQApACkAKQA7ADsAUwBUAEEAVAAuAEQARQBTAEsAUgBJAFAAVABJAFYALgBNAEUAUgBLAE0AQQBMAEUAPQBMAEEATQBCAEQAQQAoAGQAYQB0AGUAbgA7AFsAdgBhAHIAaQBhAGIAbABlAF0AOwBXAEUATgBOACgAVwBVAFIARABFAEEAVQBTAEcARQBMAEEAUwBTAEUATgAoAHYAYQByAGkAYQBiAGwAZQApADsAUwBUAEEAVAAuAEQARQBTAEMAUgBJAEIARQAuAE4ATwBNAEkATgBBAEwAKABkAGEAdABlAG4AKQA7AFMAVABBAFQALgBEAEUAUwBDAFIASQBCAEUALgBOAE8ATQBJAE4AQQBMACgAZABhAHQAZQBuADsAdgBhAHIAaQBhAGIAbABlACkAKQApADsAOwBTAFQAQQBUAC4ARABFAFMASwBSAEkAUABUAEkAVgAuAEYAQQBLAFQATwBSAFMAVABVAEYARQBOAD0ATABBAE0AQgBEAEEAKABkAGEAdABlAG4AOwBbAHYAYQByAGkAYQBiAGwAZQBdADsAVwBFAE4ATgAoAFcAVQBSAEQARQBBAFUAUwBHAEUATABBAFMAUwBFAE4AKAB2AGEAcgBpAGEAYgBsAGUAKQA7AFMAVABBAFQALgBEAEUAUwBDAFIASQBCAEUALgBOAE8ATQBJAE4AQQBMACgAZABhAHQAZQBuACkAOwBTAFQAQQBUAC4ARABFAFMAQwBSAEkAQgBFAC4ATgBPAE0ASQBOAEEATAAoAGQAYQB0AGUAbgA7AHYAYQByAGkAYQBiAGwAZQApACkAKQA7ADsAUwBUAEEAVAAuAEQARQBTAEsAUgBJAFAAVABJAFYALgBOAE8ATQBJAE4AQQBMAD0ATABBAE0AQgBEAEEAKABkAGEAdABlAG4AOwBbAHYAYQByAGkAYQBiAGwAZQBdADsAVwBFAE4ATgAoAFcAVQBSAEQARQBBAFUAUwBHAEUATABBAFMAUwBFAE4AKAB2AGEAcgBpAGEAYgBsAGUAKQA7AFMAVABBAFQALgBEAEUAUwBDAFIASQBCAEUALgBOAE8ATQBJAE4AQQBMACgAZABhAHQAZQBuACkAOwBTAFQAQQBUAC4ARABFAFMAQwBSAEkAQgBFAC4ATgBPAE0ASQBOAEEATAAoAGQAYQB0AGUAbgA7AHYAYQByAGkAYQBiAGwAZQApACkAKQA7ADsAUwBUAEEAVAAuAEQARQBTAEsAUgBJAFAAVABJAFYALgBCAEUAUwBDAEgAUgBJAEYAVABVAE4ARwA9AEwAQQBNAEIARABBACgAcwBrAGEAbABlAG4AbgBpAHYAZQBhAHUAOwB3AGUAbgBuACgAdwB1AHIAZABlAGEAdQBzAGcAZQBsAGEAcwBzAGUAbgAoAHMAawBhAGwAZQBuAG4AaQB2AGUAYQB1ACkAOwBTAFQAQQBUAC4ARABFAFMAQwBSAEkAQgBFAC4ATABBAEIARQBMAFMAKAApADsAUwBUAEEAVAAuAEQARQBTAEMAUgBJAEIARQAuAEwAQQBCAEUATABTACgAcwBrAGEAbABlAG4AbgBpAHYAZQBhAHUAKQApACkAOwA7AFMAVABBAFQALgBUAEEAQgBFAEwATABFAD0ATABBAE0AQgBEAEEAKAB2AGEAcgBpAGEAYgBsAGUAXwBhADsAWwB2AGEAcgBpAGEAYgBsAGUAXwBiAF8AbwBkAGUAcgBfAPwAYgBlAHIAcwBjAGgAcgBpAGYAdABdADsAWwBtAGkAdABfAPwAYgBlAHIAcwBjAGgAcgBpAGYAdABdADsAVwBFAE4ATgBTACgAVQBOAEQAKABXAFUAUgBEAEUAQQBVAFMARwBFAEwAQQBTAFMARQBOACgAdgBhAHIAaQBhAGIAbABlAF8AYgBfAG8AZABlAHIAXwD8AGIAZQByAHMAYwBoAHIAaQBmAHQAKQA7AFcAVQBSAEQARQBBAFUAUwBHAEUATABBAFMAUwBFAE4AKABtAGkAdABfAPwAYgBlAHIAcwBjAGgAcgBpAGYAdAApACkAOwBTAFQAQQBUAC4AVABBAEIATABFACgAdgBhAHIAaQBhAGIAbABlAF8AYQApADsAVwBVAFIARABFAEEAVQBTAEcARQBMAEEAUwBTAEUATgAoAHYAYQByAGkAYQBiAGwAZQBfAGIAXwBvAGQAZQByAF8A/ABiAGUAcgBzAGMAaAByAGkAZgB0ACkAOwBTAFQAQQBUAC4AVABBAEIATABFACgAdgBhAHIAaQBhAGIAbABlAF8AYQA7ADsAbQBpAHQAXwD8AGIAZQByAHMAYwBoAHIAaQBmAHQAKQA7AFcAQQBIAFIAOwBTAFQAQQBUAC4AVABBAEIATABFACgAdgBhAHIAaQBhAGIAbABlAF8AYQA7AHYAYQByAGkAYQBiAGwAZQBfAGIAXwBvAGQAZQByAF8A/ABiAGUAcgBzAGMAaAByAGkAZgB0ADsAbQBpAHQAXwD8AGIAZQByAHMAYwBoAHIAaQBmAHQAKQApACkAOwA7AFMAVABBAFQALgBUAEEAQgBFAEwATABFAC4AUgBFAEwAQQBUAEkAVgA9AEwAQQBNAEIARABBACgAdgBhAHIAaQBhAGIAbABlAF8AYQA7AFsAdgBhAHIAaQBhAGIAbABlAF8AYgBfAG8AZABlAHIAXwD8AGIAZQByAHMAYwBoAHIAaQBmAHQAXQA7AFsAbQBpAHQAXwD8AGIAZQByAHMAYwBoAHIAaQBmAHQAXQA7AFcARQBOAE4AUwAoAFUATgBEACgAVwBVAFIARABFAEEAVQBTAEcARQBMAEEAUwBTAEUATgAoAHYAYQByAGkAYQBiAGwAZQBfAGIAXwBvAGQAZQByAF8A/ABiAGUAcgBzAGMAaAByAGkAZgB0ACkAOwBXAFUAUgBEAEUAQQBVAFMARwBFAEwAQQBTAFMARQBOACgAbQBpAHQAXwD8AGIAZQByAHMAYwBoAHIAaQBmAHQAKQApADsAUwBUAEEAVAAuAFQAQQBCAEwARQAuAFIARQBMAEEAVABJAFYARQAoAHYAYQByAGkAYQBiAGwAZQBfAGEAKQA7AFcAVQBSAEQARQBBAFUAUwBHAEUATABBAFMAUwBFAE4AKAB2AGEAcgBpAGEAYgBsAGUAXwBiAF8AbwBkAGUAcgBfAPwAYgBlAHIAcwBjAGgAcgBpAGYAdAApADsAUwBUAEEAVAAuAFQAQQBCAEwARQAuAFIARQBMAEEAVABJAFYARQAoAHYAYQByAGkAYQBiAGwAZQBfAGEAOwA7AG0AaQB0AF8A/ABiAGUAcgBzAGMAaAByAGkAZgB0ACkAOwBXAEEASABSADsAUwBUAEEAVAAuAFQAQQBCAEwARQAuAFIARQBMAEEAVABJAFYARQAoAHYAYQByAGkAYQBiAGwAZQBfAGEAOwB2AGEAcgBpAGEAYgBsAGUAXwBiAF8AbwBkAGUAcgBfAPwAYgBlAHIAcwBjAGgAcgBpAGYAdAA7AG0AaQB0AF8A/ABiAGUAcgBzAGMAaAByAGkAZgB0ACkAKQApADsAOwBTAFQAQQBUAC4ASQBRAEEAPQBMAEEATQBCAEQAQQAoAHYAZQBrAHQAbwByAF8AbwBkAGUAcgBfAG0AYQB0AHIAaQB4ADsAUwBUAEEAVAAuAEkAUQBSACgAdgBlAGsAdABvAHIAXwBvAGQAZQByAF8AbQBhAHQAcgBpAHgAKQApADsAOwBTAFQAQQBUAC4ATQBBAEEARAA9AEwAQQBNAEIARABBACgAdgBlAGsAdABvAHIAXwBvAGQAZQByAF8AbQBhAHQAcgBpAHgAOwBTAFQAQQBUAC4ATQBBAEQAKAB2AGUAawB0AG8AcgBfAG8AZABlAHIAXwBtAGEAdAByAGkAeAApACkAOwA7AFMAVABBAFQALgBHAEUAQgBVAE4ARABFAE4ARQAuAFYAQQBSAEkAQQBOAFoAPQBMAEEATQBCAEQAQQAoAGEAXwB2AGEAcgA7AHUAYQBfAHYAYQByADsAUwBUAEEAVAAuAFAATwBPAEwARQBEAC4AVgBBAFIASQBBAE4AQwBFACgAYQBfAHYAYQByADsAdQBhAF8AdgBhAHIAKQApADsAOwBTAFQAQQBUAC4ARwBFAFAATwBPAEwAVABFAC4AVgBBAFIASQBBAE4AWgA9AEwAQQBNAEIARABBACgAYQBfAHYAYQByADsAdQBhAF8AdgBhAHIAOwBTAFQAQQBUAC4AUABPAE8ATABFAEQALgBWAEEAUgBJAEEATgBDAEUAKABhAF8AdgBhAHIAOwB1AGEAXwB2AGEAcgApACkAOwA7AFMAVABBAFQALgBTAFQAQQBOAEQAQQBSAEQARgBFAEgATABFAFIAPQBMAEEATQBCAEQAQQAoAHYAZQBrAHQAbwByAF8AbwBkAGUAcgBfAG0AYQB0AHIAaQB4ADsAUwBUAEEAVAAuAFMARQAoAHYAZQBrAHQAbwByAF8AbwBkAGUAcgBfAG0AYQB0AHIAaQB4ACkAKQA7ADsAUwBUAEEAVAAuAFMAVABEAEYARQBIAEwARQBSAD0ATABBAE0AQgBEAEEAKAB2AGUAawB0AG8AcgBfAG8AZABlAHIAXwBtAGEAdAByAGkAeAA7AFMAVABBAFQALgBTAEUAKAB2AGUAawB0AG8AcgBfAG8AZABlAHIAXwBtAGEAdAByAGkAeAApACkAOwA7AFMAVABBAFQALgBWAE8AUgBaAEUASQBDAEgARQBOAD0ATABBAE0AQgBEAEEAKAB2AGUAawB0AG8AcgBfAG8AZABlAHIAXwBtAGEAdAByAGkAeAA7AFMAVABBAFQALgBTAEkARwBOACgAdgBlAGsAdABvAHIAXwBvAGQAZQByAF8AbQBhAHQAcgBpAHgAKQApADsAOwBLAE8AUgBSAEUATAAuAEMAUgBBAE0ARQBSAD0ATABBAE0AQgBEAEEAKABhAF8AdgBhAHIAOwB1AGEAXwB2AGEAcgA7AEMATwBSAFIALgBDAFIAQQBNAEUAUgAoAGEAXwB2AGEAcgA7AHUAYQBfAHYAYQByACkAKQA7ADsASwBPAFIAUgBFAEwALgBDAFIAQQBNAEUAUgAuAFQARQBTAFQAPQBMAEEATQBCAEQAQQAoAGEAXwB2AGEAcgA7AHUAYQBfAHYAYQByADsAWwBtAGkAdABfAPwAYgBlAHIAcwBjAGgAcgBpAGYAdABdADsAQwBPAFIAUgAuAEMAUgBBAE0ARQBSAC4AVABFAFMAVAAoAGEAXwB2AGEAcgA7AHUAYQBfAHYAYQByADsAVQBOAEQAKABOAEkAQwBIAFQAKABXAFUAUgBEAEUAQQBVAFMARwBFAEwAQQBTAFMARQBOACgAbQBpAHQAXwD8AGIAZQByAHMAYwBoAHIAaQBmAHQAKQApADsAbQBpAHQAXwD8AGIAZQByAHMAYwBoAHIAaQBmAHQAKQApACkAOwA7AEsATwBSAFIARQBMAC4ASwBFAE4ARABBAEwAPQBMAEEATQBCAEQAQQAoAGEAXwB2AGEAcgA7AHUAYQBfAHYAYQByADsAQwBPAFIAUgAuAEsARQBOAEQAQQBMACgAYQBfAHYAYQByADsAdQBhAF8AdgBhAHIAKQApADsAOwBLAE8AUgBSAEUATAAuAEsARQBOAEQAQQBMAC4AVABFAFMAVAA9AEwAQQBNAEIARABBACgAYQBfAHYAYQByADsAdQBhAF8AdgBhAHIAOwBbAG0AaQB0AF8A/ABiAGUAcgBzAGMAaAByAGkAZgB0AF0AOwBDAE8AUgBSAC4ASwBFAE4ARABBAEwALgBUAEUAUwBUACgAYQBfAHYAYQByADsAdQBhAF8AdgBhAHIAOwBVAE4ARAAoAE4ASQBDAEgAVAAoAFcAVQBSAEQARQBBAFUAUwBHAEUATABBAFMAUwBFAE4AKABtAGkAdABfAPwAYgBlAHIAcwBjAGgAcgBpAGYAdAApACkAOwBtAGkAdABfAPwAYgBlAHIAcwBjAGgAcgBpAGYAdAApACkAKQA7ADsASwBPAFIAUgBFAEwALgBTAFAARQBBAFIATQBBAE4APQBMAEEATQBCAEQAQQAoAGEAXwB2AGEAcgA7AHUAYQBfAHYAYQByADsAQwBPAFIAUgAuAFMAUABFAEEAUgBNAEEATgAoAGEAXwB2AGEAcgA7AHUAYQBfAHYAYQByACkAKQA7ADsASwBPAFIAUgBFAEwALgBQAEUAQQBSAFMATwBOAD0ATABBAE0AQgBEAEEAKABhAF8AdgBhAHIAOwB1AGEAXwB2AGEAcgA7AEsATwBSAFIARQBMACgAYQBfAHYAYQByADsAdQBhAF8AdgBhAHIAKQApADsAOwA7ADsASwBPAFIAUgBFAEwALgBQAEUAQQBSAFMATwBOAC4AVABFAFMAVAA9AEwAQQBNAEIARABBACgAYQBfAHYAYQByADsAdQBhAF8AdgBhAHIAOwBbAG0AaQB0AF8A/ABiAGUAcgBzAGMAaAByAGkAZgB0AF0AOwBDAE8AUgBSAC4AUABFAEEAUgBTAE8ATgAuAFQARQBTAFQAKABhAF8AdgBhAHIAOwB1AGEAXwB2AGEAcgA7AFUATgBEACgATgBJAEMASABUACgAVwBVAFIARABFAEEAVQBTAEcARQBMAEEAUwBTAEUATgAoAG0AaQB0AF8A/ABiAGUAcgBzAGMAaAByAGkAZgB0ACkAKQA7AG0AaQB0AF8A/ABiAGUAcgBzAGMAaAByAGkAZgB0ACkAKQApADsAOwBSAEUARwBSAEUAUwBTAEkATwBOAC4AUgBFAFMASQBEAFUARQBOAD0ATABBAE0AQgBEAEEAKABhAF8AdgBhAHIAOwB1AGEAXwB2AGEAcgA7AFIARQBHAFIARQBTAFMASQBPAE4ALgBSAEUAUwBJAEQAVQBBAEwAUwAoAGEAXwB2AGEAcgA7AHUAYQBfAHYAYQByACkAKQA7ADsASwBSAFUAUwBLAEEATAAuAFcAQQBMAEwASQBTAC4AVABFAFMAVAA9AEwAQQBNAEIARABBACgAYQBfAHYAYQByADsAdQBhAF8AdgBhAHIAOwBbAG0AaQB0AF8A/ABiAGUAcgBzAGMAaAByAGkAZgB0AF0AOwBLAFIAVQBTAEsAQQBMAF8AVwBBAEwATABJAFMALgBUAEUAUwBUACgAYQBfAHYAYQByADsAdQBhAF8AdgBhAHIAOwBVAE4ARAAoAE4ASQBDAEgAVAAoAFcAVQBSAEQARQBBAFUAUwBHAEUATABBAFMAUwBFAE4AKABtAGkAdABfAPwAYgBlAHIAcwBjAGgAcgBpAGYAdAApACkAOwBtAGkAdABfAPwAYgBlAHIAcwBjAGgAcgBpAGYAdAApACkAKQA7ADsAUABBAEEAUgBXAEUASQBTAEUAUgAuAFQALgBUAEUAUwBUAD0ATABBAE0AQgBEAEEAKABhAF8AdgBhAHIAOwB1AGEAXwB2AGEAcgA7AFsAbQBpAHQAXwD8AGIAZQByAHMAYwBoAHIAaQBmAHQAXQA7AFsAYQBuAHAAYQBzAHMAdQBuAGcAXQA7AHcAZQBuAG4AKABXAFUAUgBEAEUAQQBVAFMARwBFAEwAQQBTAFMARQBOACgAYQBuAHAAYQBzAHMAdQBuAGcAKQA7AFAAQQBJAFIAVwBJAFMARQAuAFQALgBUAEUAUwBUACgAYQBfAHYAYQByADsAdQBhAF8AdgBhAHIAOwBVAE4ARAAoAE4ASQBDAEgAVAAoAFcAVQBSAEQARQBBAFUAUwBHAEUATABBAFMAUwBFAE4AKABtAGkAdABfAPwAYgBlAHIAcwBjAGgAcgBpAGYAdAApACkAOwBtAGkAdABfAPwAYgBlAHIAcwBjAGgAcgBpAGYAdAApACkAOwBQAEEASQBSAFcASQBTAEUALgBUAC4AVABFAFMAVAAoAGEAXwB2AGEAcgA7AHUAYQBfAHYAYQByADsAVQBOAEQAKABOAEkAQwBIAFQAKABXAFUAUgBEAEUAQQBVAFMARwBFAEwAQQBTAFMARQBOACgAbQBpAHQAXwD8AGIAZQByAHMAYwBoAHIAaQBmAHQAKQApADsAbQBpAHQAXwD8AGIAZQByAHMAYwBoAHIAaQBmAHQAKQA7AGEAbgBwAGEAcwBzAHUAbgBnACkAKQApADsAOwBQAEEAQQBSAFcARQBJAFMARQBSAC4AQQBCAC4AVABFAFMAVAA9AEwAQQBNAEIARABBACgAYQBfAHYAYQByADsAdQBhAF8AdgBhAHIAOwBbAG0AaQB0AF8A/ABiAGUAcgBzAGMAaAByAGkAZgB0AF0AOwBbAGEAbgBwAGEAcwBzAHUAbgBnAF0AOwB3AGUAbgBuACgAVwBVAFIARABFAEEAVQBTAEcARQBMAEEAUwBTAEUATgAoAGEAbgBwAGEAcwBzAHUAbgBnACkAOwBQAEEASQBSAFcASQBTAEUALgBUAC4AVABFAFMAVAAoAGEAXwB2AGEAcgA7AHUAYQBfAHYAYQByADsAVQBOAEQAKABOAEkAQwBIAFQAKABXAFUAUgBEAEUAQQBVAFMARwBFAEwAQQBTAFMARQBOACgAbQBpAHQAXwD8AGIAZQByAHMAYwBoAHIAaQBmAHQAKQApADsAbQBpAHQAXwD8AGIAZQByAHMAYwBoAHIAaQBmAHQAKQApADsAUABBAEkAUgBXAEkAUwBFAC4AVAAuAFQARQBTAFQAKABhAF8AdgBhAHIAOwB1AGEAXwB2AGEAcgA7AFUATgBEACgATgBJAEMASABUACgAVwBVAFIARABFAEEAVQBTAEcARQBMAEEAUwBTAEUATgAoAG0AaQB0AF8A/ABiAGUAcgBzAGMAaAByAGkAZgB0ACkAKQA7AG0AaQB0AF8A/ABiAGUAcgBzAGMAaAByAGkAZgB0ACkAOwBhAG4AcABhAHMAcwB1AG4AZwApACkAKQA7ADsAUABBAEEAUgBXAEUASQBTAEUAUgAuAEYALgBUAEUAUwBUAD0ATABBAE0AQgBEAEEAKABhAF8AdgBhAHIAOwB1AGEAXwB2AGEAcgA7AFsAbQBpAHQAXwD8AGIAZQByAHMAYwBoAHIAaQBmAHQAXQA7AFsAYQBuAHAAYQBzAHMAdQBuAGcAXQA7AHcAZQBuAG4AKABXAFUAUgBEAEUAQQBVAFMARwBFAEwAQQBTAFMARQBOACgAYQBuAHAAYQBzAHMAdQBuAGcAKQA7AFAAQQBJAFIAVwBJAFMARQAuAEYALgBUAEUAUwBUACgAYQBfAHYAYQByADsAdQBhAF8AdgBhAHIAOwBVAE4ARAAoAE4ASQBDAEgAVAAoAFcAVQBSAEQARQBBAFUAUwBHAEUATABBAFMAUwBFAE4AKABtAGkAdABfAPwAYgBlAHIAcwBjAGgAcgBpAGYAdAApACkAOwBtAGkAdABfAPwAYgBlAHIAcwBjAGgAcgBpAGYAdAApACkAOwBQAEEASQBSAFcASQBTAEUALgBGAC4AVABFAFMAVAAoAGEAXwB2AGEAcgA7AHUAYQBfAHYAYQByADsAVQBOAEQAKABOAEkAQwBIAFQAKABXAFUAUgBEAEUAQQBVAFMARwBFAEwAQQBTAFMARQBOACgAbQBpAHQAXwD8AGIAZQByAHMAYwBoAHIAaQBmAHQAKQApADsAbQBpAHQAXwD8AGIAZQByAHMAYwBoAHIAaQBmAHQAKQA7AGEAbgBwAGEAcwBzAHUAbgBnACkAKQApADsAOwBBAEIALgBUAEUAUwBUAD0ATABBAE0AQgBEAEEAKABhAF8AdgBhAHIAOwB1AGEAXwB2AGEAcgA7AFsAYQBsAHQAZQByAG4AYQB0AGkAdgBlAF0AOwBbAGcAZQBwAGEAYQByAHQAXQA7AFcARQBOAE4AUwAoAFUATgBEACgAVwBVAFIARABFAEEAVQBTAEcARQBMAEEAUwBTAEUATgAoAGEAbAB0AGUAcgBuAGEAdABpAHYAZQApADsAVwBVAFIARABFAEEAVQBTAEcARQBMAEEAUwBTAEUATgAoAGcAZQBwAGEAYQByAHQAKQApADsAVAAuAFQARQBTAFQALgBTACgAYQBfAHYAYQByADsAdQBhAF8AdgBhAHIAKQA7AFcAVQBSAEQARQBBAFUAUwBHAEUATABBAFMAUwBFAE4AKABhAGwAdABlAHIAbgBhAHQAaQB2AGUAKQA7AFQALgBUAEUAUwBUAC4AUwAoAGEAXwB2AGEAcgA7AHUAYQBfAHYAYQByADsAOwBnAGUAcABhAGEAcgB0ACkAOwBXAFUAUgBEAEUAQQBVAFMARwBFAEwAQQBTAFMARQBOACgAZwBlAHAAYQBhAHIAdAApADsAVAAuAFQARQBTAFQALgBTACgAYQBfAHYAYQByADsAdQBhAF8AdgBhAHIAOwBhAGwAdABlAHIAbgBhAHQAaQB2AGUAKQA7AFcAQQBIAFIAOwBUAC4AVABFAFMAVAAuAFMAKABhAF8AdgBhAHIAOwB1AGEAXwB2AGEAcgA7AGEAbAB0AGUAcgBuAGEAdABpAHYAZQA7AGcAZQBwAGEAYQByAHQAKQApACkAOwA7AFMAUABBAEwAVABFAE4AUwBVAE0ATQBFAD0ATABBAE0AQgBEAEEAKABtAGEAdAByAGkAeAA7AEMATwBMAFMAVQBNACgAbQBhAHQAcgBpAHgAKQApADsAOwBaAEUASQBMAEUATgBTAFUATQBNAEUAPQBMAEEATQBCAEQAQQAoAG0AYQB0AHIAaQB4ADsAUgBPAFcAUwBVAE0AKABtAGEAdAByAGkAeAApACkAOwA7AEsAVQBNAFUATABBAFQASQBWAEUAUwBVAE0ATQBFAD0ATABBAE0AQgBEAEEAKAB2AGUAawB0AG8AcgA7AEMAVQBNAFMAVQBNACgAdgBlAGsAdABvAHIAKQApADsAOwBHAFIAVQBQAFAARQBOAC4AUwBVAE0ATQBFAD0ATABBAE0AQgBEAEEAKAB3AGUAcgB0AGUAXwB2AGUAawB0AG8AcgA7AGcAcgB1AHAAcABlAG4AXwB2AGUAawB0AG8AcgA7AEcAUgBPAFUAUAAuAFMAVQBNACgAdwBlAHIAdABlAF8AdgBlAGsAdABvAHIAOwBnAHIAdQBwAHAAZQBuAF8AdgBlAGsAdABvAHIAKQApADsAOwBHAFIAVQBQAFAARQBOAC4AQQBOAFoAQQBIAEwAPQBMAEEATQBCAEQAQQAoAGcAcgB1AHAAcABlAG4AXwB2AGUAawB0AG8AcgA7AEcAUgBPAFUAUAAuAEMATwBVAE4AVAAoAGcAcgB1AHAAcABlAG4AXwB2AGUAawB0AG8AcgApACkAOwA7AEcAUgBVAFAAUABFAE4ALgBOAD0ATABBAE0AQgBEAEEAKABnAHIAdQBwAHAAZQBuAF8AdgBlAGsAdABvAHIAOwBHAFIATwBVAFAALgBDAE8AVQBOAFQAKABnAHIAdQBwAHAAZQBuAF8AdgBlAGsAdABvAHIAKQApADsAOwBHAFIAVQBQAFAARQBOAC4ATQBJAFQAVABFAEwAVwBFAFIAVAA9AEwAQQBNAEIARABBACgAdwBlAHIAdABlAF8AdgBlAGsAdABvAHIAOwBnAHIAdQBwAHAAZQBuAF8AdgBlAGsAdABvAHIAOwBHAFIATwBVAFAALgBNAEUAQQBOACgAdwBlAHIAdABlAF8AdgBlAGsAdABvAHIAOwBnAHIAdQBwAHAAZQBuAF8AdgBlAGsAdABvAHIAKQApADsAOwBHAFIAVQBQAFAARQBOAC4ATQBFAEQASQBBAE4APQBMAEEATQBCAEQAQQAoAHcAZQByAHQAZQBfAHYAZQBrAHQAbwByADsAZwByAHUAcABwAGUAbgBfAHYAZQBrAHQAbwByADsARwBSAE8AVQBQAC4ATQBFAEQASQBBAE4AKAB3AGUAcgB0AGUAXwB2AGUAawB0AG8AcgA7AGcAcgB1AHAAcABlAG4AXwB2AGUAawB0AG8AcgApACkAOwA7AEcAUgBVAFAAUABFAE4ALgBNAEkATgA9AEwAQQBNAEIARABBACgAdwBlAHIAdABlAF8AdgBlAGsAdABvAHIAOwBnAHIAdQBwAHAAZQBuAF8AdgBlAGsAdABvAHIAOwBHAFIATwBVAFAALgBNAEkATgAoAHcAZQByAHQAZQBfAHYAZQBrAHQAbwByADsAZwByAHUAcABwAGUAbgBfAHYAZQBrAHQAbwByACkAKQA7ADsARwBSAFUAUABQAEUATgAuAE0AQQBYAD0ATABBAE0AQgBEAEEAKAB3AGUAcgB0AGUAXwB2AGUAawB0AG8AcgA7AGcAcgB1AHAAcABlAG4AXwB2AGUAawB0AG8AcgA7AEcAUgBPAFUAUAAuAE0AQQBYACgAdwBlAHIAdABlAF8AdgBlAGsAdABvAHIAOwBnAHIAdQBwAHAAZQBuAF8AdgBlAGsAdABvAHIAKQApADsAOwBHAFIAVQBQAFAARQBOAC4AUwBUAEQAQQBCAFcAPQBMAEEATQBCAEQAQQAoAHcAZQByAHQAZQBfAHYAZQBrAHQAbwByADsAZwByAHUAcABwAGUAbgBfAHYAZQBrAHQAbwByADsARwBSAE8AVQBQAC4AUwBEACgAdwBlAHIAdABlAF8AdgBlAGsAdABvAHIAOwBnAHIAdQBwAHAAZQBuAF8AdgBlAGsAdABvAHIAKQApADsAOwBHAFIAVQBQAFAARQBOAC4AUwBEAD0ATABBAE0AQgBEAEEAKAB3AGUAcgB0AGUAXwB2AGUAawB0AG8AcgA7AGcAcgB1AHAAcABlAG4AXwB2AGUAawB0AG8AcgA7AEcAUgBPAFUAUAAuAFMARAAoAHcAZQByAHQAZQBfAHYAZQBrAHQAbwByADsAZwByAHUAcABwAGUAbgBfAHYAZQBrAHQAbwByACkAKQA7ADsARwBSAFUAUABQAEUATgAuAFMARQA9AEwAQQBNAEIARABBACgAdwBlAHIAdABlAF8AdgBlAGsAdABvAHIAOwBnAHIAdQBwAHAAZQBuAF8AdgBlAGsAdABvAHIAOwBHAFIATwBVAFAALgBTAEUAKAB3AGUAcgB0AGUAXwB2AGUAawB0AG8AcgA7AGcAcgB1AHAAcABlAG4AXwB2AGUAawB0AG8AcgApACkAOwA7AEcAUgBVAFAAUABFAE4ALgBTAFQAQQBOAEQAQQBSAEQARgBFAEgATABFAFIAPQBMAEEATQBCAEQAQQAoAHcAZQByAHQAZQBfAHYAZQBrAHQAbwByADsAZwByAHUAcABwAGUAbgBfAHYAZQBrAHQAbwByADsARwBSAE8AVQBQAC4AUwBFACgAdwBlAHIAdABlAF8AdgBlAGsAdABvAHIAOwBnAHIAdQBwAHAAZQBuAF8AdgBlAGsAdABvAHIAKQApADsAOwBHAFIAVQBQAFAARQBOAC4AUwBUAEQARgBFAEgATABFAFIAPQBMAEEATQBCAEQAQQAoAHcAZQByAHQAZQBfAHYAZQBrAHQAbwByADsAZwByAHUAcABwAGUAbgBfAHYAZQBrAHQAbwByADsARwBSAE8AVQBQAC4AUwBFACgAdwBlAHIAdABlAF8AdgBlAGsAdABvAHIAOwBnAHIAdQBwAHAAZQBuAF8AdgBlAGsAdABvAHIAKQApADsARwBSAFUAUABQAEUATgAuAE0AQQBEAD0ATABBAE0AQgBEAEEAKAB3AGUAcgB0AGUAXwB2AGUAawB0AG8AcgA7AGcAcgB1AHAAcABlAG4AXwB2AGUAawB0AG8AcgA7AEcAUgBPAFUAUAAuAE0AQQBEACgAdwBlAHIAdABlAF8AdgBlAGsAdABvAHIAOwBnAHIAdQBwAHAAZQBuAF8AdgBlAGsAdABvAHIAKQApADsAOwBHAFIAVQBQAFAARQBOAC4ASQBRAEEAPQBMAEEATQBCAEQAQQAoAHcAZQByAHQAZQBfAHYAZQBrAHQAbwByADsAZwByAHUAcABwAGUAbgBfAHYAZQBrAHQAbwByADsARwBSAE8AVQBQAC4ASQBRAFIAKAB3AGUAcgB0AGUAXwB2AGUAawB0AG8AcgA7AGcAcgB1AHAAcABlAG4AXwB2AGUAawB0AG8AcgApACkAOwA7AEkAUwBUAC4AVgBFAEsAVABPAFIAPQBMAEEATQBCAEQAQQAoAHYAZQBrAHQAbwByADsASQBTAC4AVgBFAEMAVABPAFIAKAB2AGUAawB0AG8AcgApACkAOwA7AFMASQBOAEQALgBBAEwATABFAC4ARwBMAEUASQBDAEgAPQBMAEEATQBCAEQAQQAoAHYAZQBrAHQAbwByADsASQBTAC4AQQBMAEwALgBFAFEAVQBBAEwAKAB2AGUAawB0AG8AcgApACkAOwA7AEkAUwBUAC4AQQBMAEwARQAuAEcATABFAEkAQwBIAD0ATABBAE0AQgBEAEEAKAB2AGUAawB0AG8AcgA7AEkAUwAuAEEATABMAC4ARQBRAFUAQQBMACgAdgBlAGsAdABvAHIAKQApADsAOwA7ADsAVgBFAEsAVABPAFIALgBMAMQATgBHAEUAPQBMAEEATQBCAEQAQQAoAHYAZQBrAHQAbwByADsAVgBMAEUATgBHAFQASAAoAHYAZQBrAHQAbwByACkAKQA7ADsAOwA7AFIARQBTAEkARABVAEUATgA9AEwAQQBNAEIARABBACgAdgBlAGsAdABvAHIAXwBvAGQAZQByAF8AbQBhAHQAcgBpAHgAOwBbAHIAZQBmAGUAcgBlAG4AegBfAHYAZQBrAHQAbwByAF0AOwB3AGUAbgBuACgAdwB1AHIAZABlAGEAdQBzAGcAZQBsAGEAcwBzAGUAbgAoAHIAZQBmAGUAcgBlAG4AegBfAHYAZQBrAHQAbwByACkAOwBSAEUAUwBJAEQAVQBBAEwAUwAoAHYAZQBrAHQAbwByAF8AbwBkAGUAcgBfAG0AYQB0AHIAaQB4ACkAOwBSAEUAUwBJAEQAVQBBAEwAUwAoAHYAZQBrAHQAbwByAF8AbwBkAGUAcgBfAG0AYQB0AHIAaQB4ADsAcgBlAGYAZQByAGUAbgB6AF8AdgBlAGsAdABvAHIAKQApACkAOwA7AE0ARABJAE0ARQBOAFMASQBPAE4APQBMAEEATQBCAEQAQQAoAG0AYQB0AHIAaQB4ADsATQBEAEkATQAoAG0AYQB0AHIAaQB4ACkAKQA7ADsATQBTAFAAVQBSAD0ATABBAE0AQgBEAEEAKABtAGEAdAByAGkAeAA7AE0AVABSAEEAQwBFACgAbQBhAHQAcgBpAHgAKQApADsAOwBIAFcASQBFAEQARQBSAEgATwBMAEUATgA9AEwAQQBNAEIARABBACgAdwBlAHIAdAA7AG4AXwB3AGkAZQBkAGUAcgBoAG8AbAB1AG4AZwBlAG4AOwBIAFIARQBQAEUAQQBUACgAdwBlAHIAdAA7AG4AXwB3AGkAZQBkAGUAcgBoAG8AbAB1AG4AZwBlAG4AKQApADsAOwBWAFcASQBFAEQARQBSAEgATwBMAEUATgA9AEwAQQBNAEIARABBACgAdwBlAHIAdAA7AG4AXwB3AGkAZQBkAGUAcgBoAG8AbAB1AG4AZwBlAG4AOwBWAFIARQBQAEUAQQBUACgAdwBlAHIAdAA7AG4AXwB3AGkAZQBkAGUAcgBoAG8AbAB1AG4AZwBlAG4AKQApADsAOwBTAEUAUQBVAEUATgBaAC4ASQBOAFQARQBSAFYAQQBMAEwAPQBMAEEATQBCAEQAQQAoAHcAZQByAHQAOwBbAG8AYgBlAHIAZQBfAGcAcgBlAG4AegBlAF8AbwBkAGUAcgBfAHMAYwBoAHIAaQB0AHQAdwBlAGkAdABlAF0AOwBbAHMAYwBoAHIAaQB0AHQAdwBlAGkAdABlAF0AOwB3AGUAbgBuAHMAKABVAE4ARAAoAFcAVQBSAEQARQBBAFUAUwBHAEUATABBAFMAUwBFAE4AKABvAGIAZQByAGUAXwBnAHIAZQBuAHoAZQBfAG8AZABlAHIAXwBzAGMAaAByAGkAdAB0AHcAZQBpAHQAZQApADsAVwBVAFIARABFAEEAVQBTAEcARQBMAEEAUwBTAEUATgAoAHMAYwBoAHIAaQB0AHQAdwBlAGkAdABlACkAKQA7AFMARQBRAFUARQBOAEMARQAuAFIAQQBOAEcARQAoAG4AXwB3AGUAcgB0AGUAKQA7AFcAVQBSAEQARQBBAFUAUwBHAEUATABBAFMAUwBFAE4AKABvAGIAZQByAGUAXwBnAHIAZQBuAHoAZQBfAG8AZABlAHIAXwBzAGMAaAByAGkAdAB0AHcAZQBpAHQAZQApADsAUwBFAFEAVQBFAE4AQwBFAC4AUgBBAE4ARwBFACgAbgBfAHcAZQByAHQAZQA7ADsAcwBjAGgAcgBpAHQAdAB3AGUAaQB0AGUAKQA7AFcAVQBSAEQARQBBAFUAUwBHAEUATABBAFMAUwBFAE4AKABzAGMAaAByAGkAdAB0AHcAZQBpAHQAZQApADsAUwBFAFEAVQBFAE4AQwBFAC4AUgBBAE4ARwBFACgAbgBfAHcAZQByAHQAZQA7AG8AYgBlAHIAZQBfAGcAcgBlAG4AegBlAF8AbwBkAGUAcgBfAHMAYwBoAHIAaQB0AHQAdwBlAGkAdABlACkAOwBXAEEASABSADsAUwBFAFEAVQBFAE4AQwBFAC4AUgBBAE4ARwBFACgAbgBfAHcAZQByAHQAZQA7AG8AYgBlAHIAZQBfAGcAcgBlAG4AegBlAF8AbwBkAGUAcgBfAHMAYwBoAHIAaQB0AHQAdwBlAGkAdABlADsAcwBjAGgAcgBpAHQAdAB3AGUAaQB0AGUAKQApACkAOwA7AE0ARABSAEUASQBFAEMASwA9AEwAQQBNAEIARABBACgAZwByAPYAcwBzAGUAOwBbAGkAcwB0AF8AdQBuAHQAZQBuAF0AOwBbAG8AaABuAGUAXwBkAGkAYQBnAG8AbgBhAGwAZQBdADsAdwBlAG4AbgBzACgAVQBOAEQAKABXAFUAUgBEAEUAQQBVAFMARwBFAEwAQQBTAFMARQBOACgAaQBzAHQAXwB1AG4AdABlAG4AKQA7AFcAVQBSAEQARQBBAFUAUwBHAEUATABBAFMAUwBFAE4AKABvAGgAbgBlAF8AZABpAGEAZwBvAG4AYQBsAGUAKQApADsATQBUAFIASQBBAE4ARwBMAEUAKABnAHIA9gBzAHMAZQApADsAVwBVAFIARABFAEEAVQBTAEcARQBMAEEAUwBTAEUATgAoAGkAcwB0AF8AdQBuAHQAZQBuACkAOwBNAFQAUgBJAEEATgBHAEwARQAoAGcAcgD2AHMAcwBlADsAOwBvAGgAbgBlAF8AZABpAGEAZwBvAG4AYQBsAGUAKQA7AFcAVQBSAEQARQBBAFUAUwBHAEUATABBAFMAUwBFAE4AKABvAGgAbgBlAF8AZABpAGEAZwBvAG4AYQBsAGUAKQA7AE0AVABSAEkAQQBOAEcATABFACgAZwByAPYAcwBzAGUAOwBpAHMAdABfAHUAbgB0AGUAbgApADsAVwBBAEgAUgA7AE0AVABSAEkAQQBOAEcATABFACgAZwByAPYAcwBzAGUAOwBpAHMAdABfAHUAbgB0AGUAbgA7AG8AaABuAGUAXwBkAGkAYQBnAG8AbgBhAGwAZQApACkAKQA7ADsAWgBVAEYAQQBMAEwAUwBNAEEAVABSAEkAWAAuAE4ATwBSAE0AQQBMAD0ATABBAE0AQgBEAEEAKABuAF8AdwBlAHIAdABlADsAWwBzAG8AbABsAF8AbQBpAHQAdABlAGwAdwBlAHIAdABdADsAWwBzAG8AbABsAF8AcwB0AGEAbgBkAGEAcgBkAGEAYgB3AGUAaQBjAGgAdQBuAGcAXQA7AHcAZQBuAG4AcwAoAFUATgBEACgAVwBVAFIARABFAEEAVQBTAEcARQBMAEEAUwBTAEUATgAoAHMAbwBsAGwAXwBtAGkAdAB0AGUAbAB3AGUAcgB0ACkAOwBXAFUAUgBEAEUAQQBVAFMARwBFAEwAQQBTAFMARQBOACgAcwBvAGwAbABfAHMAdABhAG4AZABhAHIAZABhAGIAdwBlAGkAYwBoAHUAbgBnACkAKQA7AFIAQQBOAEQATwBNAC4ATgBPAFIATQAoAG4AXwB3AGUAcgB0AGUAKQA7AFcAVQBSAEQARQBBAFUAUwBHAEUATABBAFMAUwBFAE4AKABzAG8AbABsAF8AbQBpAHQAdABlAGwAdwBlAHIAdAApADsAUgBBAE4ARABPAE0ALgBOAE8AUgBNACgAbgBfAHcAZQByAHQAZQA7ADsAcwBvAGwAbABfAHMAdABhAG4AZABhAHIAZABhAGIAdwBlAGkAYwBoAHUAbgBnACkAOwBXAFUAUgBEAEUAQQBVAFMARwBFAEwAQQBTAFMARQBOACgAcwBvAGwAbABfAHMAdABhAG4AZABhAHIAZABhAGIAdwBlAGkAYwBoAHUAbgBnACkAOwBSAEEATgBEAE8ATQAuAE4ATwBSAE0AKABuAF8AdwBlAHIAdABlADsAcwBvAGwAbABfAG0AaQB0AHQAZQBsAHcAZQByAHQAKQA7AFcAQQBIAFIAOwBSAEEATgBEAE8ATQAuAE4ATwBSAE0AKABuAF8AdwBlAHIAdABlADsAcwBvAGwAbABfAG0AaQB0AHQAZQBsAHcAZQByAHQAOwBzAG8AbABsAF8AcwB0AGEAbgBkAGEAcgBkAGEAYgB3AGUAaQBjAGgAdQBuAGcAKQApACkAOwA7AFQAQQBCAEUATABMAEUATgAuAEEAVQBTAFcAQQBIAEwAPQBMAEEATQBCAEQAQQAoAHQAYQBiAGUAbABsAGUAbgBfAG4AYQBtAGUAOwBzAHAAYQBsAHQAZQBuAF8AbgBhAG0AZQBuADsAWwBtAGkAdABfAPwAYgBlAHIAcwBjAGgAcgBpAGYAdABdADsAVABBAEIATABFAC4AUwBFAEwARQBDAFQAKAB0AGEAYgBlAGwAbABlAG4AXwBuAGEAbQBlADsAcwBwAGEAbAB0AGUAbgBfAG4AYQBtAGUAbgA7AFUATgBEACgATgBJAEMASABUACgAVwBVAFIARABFAEEAVQBTAEcARQBMAEEAUwBTAEUATgAoAG0AaQB0AF8A/ABiAGUAcgBzAGMAaAByAGkAZgB0ACkAKQA7AG0AaQB0AF8A/ABiAGUAcgBzAGMAaAByAGkAZgB0ACkAKQApADsAOwBVAE4ARwDcAEwAVABJAEcARQAuAE0AQQBSAEsASQBFAFIARQBOAD0ATABBAE0AQgBEAEEAKAB2AGUAawB0AG8AcgBfAG8AZABlAHIAXwBtAGEAdAByAGkAeAA7AHUAbgBnAPwAbAB0AGkAZwBlAF8AdwBlAHIAdABlADsATQBBAFIASwAuAEkATgBWAEEATABJAEQAKAB2AGUAawB0AG8AcgBfAG8AZABlAHIAXwBtAGEAdAByAGkAeAA7AHUAbgBnAPwAbAB0AGkAZwBlAF8AdwBlAHIAdABlACkAKQA7ADsAVQBOAEcA3ABMAFQASQBHAEUALgBMANYAUwBDAEgARQBOAD0ATABBAE0AQgBEAEEAKAB2AGUAawB0AG8AcgBfAG8AZABlAHIAXwBtAGEAdAByAGkAeAA7AFsAdQBuAGcA/ABsAHQAaQBnAGUAXwB3AGUAcgB0AGUAXQA7AHcAZQBuAG4AKAB3AHUAcgBkAGUAYQB1AHMAZwBlAGwAYQBzAHMAZQBuACgAdQBuAGcA/ABsAHQAaQBnAGUAXwB3AGUAcgB0AGUAKQA7AFIARQBNAE8AVgBFAC4ASQBOAFYAQQBMAEkARAAoAHYAZQBrAHQAbwByAF8AbwBkAGUAcgBfAG0AYQB0AHIAaQB4ACkAOwBSAEUATQBPAFYARQAuAEkATgBWAEEATABJAEQAKAB2AGUAawB0AG8AcgBfAG8AZABlAHIAXwBtAGEAdAByAGkAeAA7AHUAbgBnAPwAbAB0AGkAZwBlAF8AdwBlAHIAdABlACkAKQApADsAOwBFAE4AVABGAEUAUgBOAEUALgBGAEUASABMAEUAUgA9AEwAQQBNAEIARABBACgAdgBlAGsAdABvAHIAXwBvAGQAZQByAF8AbQBhAHQAcgBpAHgAOwBbAHUAbgBnAPwAbAB0AGkAZwBlAF8AdwBlAHIAdABlAF0AOwB3AGUAbgBuACgAdwB1AHIAZABlAGEAdQBzAGcAZQBsAGEAcwBzAGUAbgAoAHUAbgBnAPwAbAB0AGkAZwBlAF8AdwBlAHIAdABlACkAOwBSAEUATQBPAFYARQAuAEkATgBWAEEATABJAEQAKAB2AGUAawB0AG8AcgBfAG8AZABlAHIAXwBtAGEAdAByAGkAeAApADsAUgBFAE0ATwBWAEUALgBJAE4AVgBBAEwASQBEACgAdgBlAGsAdABvAHIAXwBvAGQAZQByAF8AbQBhAHQAcgBpAHgAOwB1AG4AZwD8AGwAdABpAGcAZQBfAHcAZQByAHQAZQApACkAKQA7ADsAUwBDAEgATgBFAEwATAAuAEsATwBEAEkARQBSAEUATgA9AEwAQQBNAEIARABBACgAdgBlAGsAdABvAHIAOwBnAGUAbwByAGQAbgBlAHQAZQBfAHcAZQByAHQAZQA7AFEAVQBJAEMASwAuAEMATwBEAEUAKAB2AGUAawB0AG8AcgA7AGcAZQBvAHIAZABuAGUAdABlAF8AdwBlAHIAdABlACkAKQA7ADsATwBOAEUALgBIAE8AVAA9AEwAQQBNAEIARABBACgAdgBlAGsAdABvAHIAOwBbAGgAZQBhAGQAaQBuAGcAcwBdADsARABVAE0ATQBZAC4AQwBPAEQASQBOAEcAKAB2AGUAawB0AG8AcgA7AFUATgBEACgATgBJAEMASABUACgAVwBVAFIARABFAEEAVQBTAEcARQBMAEEAUwBTAEUATgAoAGgAZQBhAGQAaQBuAGcAcwApACkAOwBoAGUAYQBkAGkAbgBnAHMAKQApACkAOwA7AE8ATgBFAC4ASABPAFQALgBDAE8ARABJAE4ARwA9AEwAQQBNAEIARABBACgAdgBlAGsAdABvAHIAOwBbAGgAZQBhAGQAaQBuAGcAcwBdADsARABVAE0ATQBZAC4AQwBPAEQASQBOAEcAKAB2AGUAawB0AG8AcgA7AFUATgBEACgATgBJAEMASABUACgAVwBVAFIARABFAEEAVQBTAEcARQBMAEEAUwBTAEUATgAoAGgAZQBhAGQAaQBuAGcAcwApACkAOwBoAGUAYQBkAGkAbgBnAHMAKQApACkAOwA7AFwAbgAiAH0AXQAsACIAcAByAG8AagBlAGMAdABOAGEAbQBlAHMAIgA6AFsAIgBDAE8ATABTAFUATQAiACwAIgBDAE8AUgBSAC4AQwBSAEEATQBFAFIAIgAsACIAQwBPAFIAUgAuAEMAUgBBAE0ARQBSAC4AVABFAFMAVAAiACwAIgBDAE8AUgBSAC4ASwBFAE4ARABBAEwAIgAsACIAQwBPAFIAUgAuAEsARQBOAEQAQQBMAC4AVABFAFMAVAAiACwAIgBDAE8AUgBSAC4AUABFAEEAUgBTAE8ATgAiACwAIgBDAE8AUgBSAC4AUABFAEEAUgBTAE8ATgAuAFQARQBTAFQAIgAsACIAQwBPAFIAUgAuAFMAUABFAEEAUgBNAEEATgAiACwAIgBDAFUATQBTAFUATQAiACwAIgBEAFUATQBNAFkALgBDAE8ARABJAE4ARwAiACwAIgBHAFIATwBVAFAALgBDAE8AVQBOAFQAIgAsACIARwBSAE8AVQBQAC4ATABBAEIARQBMAFMAIgAsACIARwBSAE8AVQBQAC4ASQBRAFIAIgAsACIARwBSAE8AVQBQAC4ATQBBAEQAIgAsACIARwBSAE8AVQBQAC4ATQBBAFgAIgAsACIARwBSAE8AVQBQAC4ATQBFAEEATgAiACwAIgBHAFIATwBVAFAALgBNAEUARABJAEEATgAiACwAIgBHAFIATwBVAFAALgBNAEkATgAiACwAIgBHAFIATwBVAFAALgBTAEQAIgAsACIARwBSAE8AVQBQAC4AUwBFACIALAAiAEcAUgBPAFUAUAAuAFMAVQBNACIALAAiAEgAUgBFAFAARQBBAFQAIgAsACIASQBTAC4AQQBMAEwALgBFAFEAVQBBAEwAIgAsACIASQBTAC4AVgBFAEMAVABPAFIAIgAsACIATQBBAFIASwAuAEkATgBWAEEATABJAEQAIgAsACIATQBBAFQAUgBJAFgAXwBUAE8AXwBMAE8ATgBHACIALAAiAE0AQQBUAFIASQBYAC4AVABPAC4ATABPAE4ARwAiACwAIgBNAEEAVABSAEkAWAAuAFoAVQAuAEwAQQBOAEcARgBPAFIATQAiACwAIgBNAEQASQBNACIALAAiAE0AVABSAEEAQwBFACIALAAiAE0AVABSAEkAQQBOAEcATABFACIALAAiAEMASABJAFEAVQAuAEYAVQBOAEMALgBUAEUAUwBUACIALAAiAE4ATwBSAE0ALgBUAEUAUwBUACIALAAiAFAAUQAuAFIARQBOAEEATQBFAC4ASABFAEwAUABFAFIAIgAsACIAUABSAEUAUAAuAEEATABUAEUAUgBOAEEAVABJAFYARQAiACwAIgBRAFEALgBEAEEAVABBACIALAAiAFEAVQBJAEMASwAuAEMATwBEAEUAIgAsACIAUgBBAE4ARABPAE0ALgBOAE8AUgBNACIALAAiAFIARQBHAFIARQBTAFMASQBPAE4ALgBTAFQAQQBUAFMAIgAsACIAUgBFAEcAUgBFAFMAUwBJAE8ATgAiACwAIgBSAEUARwBSAEUAUwBTAEkATwBOAC4AUgBFAFMASQBEAFUAQQBMAFMAIgAsACIAUgBHAFAALgBSAEUAUwBJAEQAVQBBAEwAUwAiACwAIgBSAEUATQBPAFYARQAuAEkATgBWAEEATABJAEQAIgAsACIAUgBFAFMASQBEAFUAQQBMAFMAIgAsACIAUgBPAFcAUwBVAE0AIgAsACIAUwBDAEgARQBNAEEALgBDAEgATwBPAFMARQAiACwAIgBTAEUAUQBVAEUATgBDAEUALgBSAEEATgBHAEUAIgAsACIAUwBUAEEAVAAuAEMATwBSAFIARQBDAFQALgBQAFYAQQBMAFUARQAiACwAIgBTAFQAQQBUAC4ARABFAFMAQwBSAEkAQgBFACIALAAiAFMAVABBAFQALgBEAEUAUwBDAFIASQBCAEUALgBMAEEAQgBFAEwAUwAiACwAIgBTAFQAQQBUAC4ARABFAFMAQwBSAEkAQgBFAC4ATgBPAE0ASQBOAEEATAAiACwAIgBTAFQAQQBUAC4ASQBRAFIAIgAsACIAUwBUAEEAVAAuAE0AQQBEACIALAAiAFMAVABBAFQALgBQAE8ATwBMAEUARAAuAFYAQQBSAEkAQQBOAEMARQAiACwAIgBQAC4AQQBEAEoALgBCAE8ATgBGAEUAUgBSAE8ATgBJACIALAAiAFAALgBBAEQASgAuAEgATwBMAE0AIgAsACIAUAAuAEEARABKAC4AUwBJAEQAQQBLACIALAAiAFAALgBBAEQASgAuAEgATwBMAE0AXwBTAEkARABBAEsAIgAsACIAUAAuAEEARABKAC4ASABPAEMASABCAEUAUgBHACIALAAiAFMAVABBAFQALgBTAEUAIgAsACIAUwBUAEEAVAAuAFMAVABEAC4ARQBSAFIATwBSACIALAAiAFMAVABBAFQALgBTAEkARwBOACIALAAiAFMAVABBAFQALgBUAEEAQgBMAEUAIgAsACIAUwBUAEEAVAAuAFQAQQBCAEwARQAuAFIARQBMAEEAVABJAFYARQAiACwAIgBUAEEAQgBMAEUALgBTAEUATABFAEMAVAAiACwAIgBBAE4ATwBWAEEALgBUAEUAUwBUACIALAAiAEMASABJAFEAVQAuAFQARQBTAFQALgBTACIALAAiAEMASABJAFEAVQAuAFQARQBTAFQAMgAiACwAIgBDAEgASQBRAFUALgBUAEUAUwBUADIALgBIAEUAQQBEAEUAUgAiACwAIgBDAEgASQBRAFUALgBUAEUAUwBUAC4AWAAiACwAIgBEAFUATgBOAC4AVABFAFMAVAAiACwAIgBGAC4AVABFAFMAVAAuAFMAIgAsACIASwBSAFUAUwBLAEEATABfAFcAQQBMAEwASQBTAC4AVABFAFMAVAAiACwAIgBMAEUAVgBFAE4ARQAuAFQARQBTAFQAIgAsACIAUABBAEkAUgBXAEkAUwBFAC4ARgAuAFQARQBTAFQAIgAsACIAUABBAEkAUgBXAEkAUwBFAC4AVAAuAFQARQBTAFQAIgAsACIAVAAuAFQARQBTAFQALgBTACIALAAiAFcASQBMAEMATwBYAE8ATgAuAFQARQBTAFQAIgAsACIAVgBMAEUATgBHAFQASAAiACwAIgBWAFIARQBQAEUAQQBUACIALAAiAFYAUgBFAFYARQBSAFMARQAiACwAIgBWAEUASwBUAE8AUgAuAFUATQBLAEUASABSAEUATgAiACwAIgBTAFQAQQBUAC4ARABFAFMASwBSAEkAUABUAEkAVgAiACwAIgBTAFQAQQBUAC4ARABFAFMASwBSAEkAUABUAEkAVgAuAE0ARQBSAEsATQBBAEwARQAiACwAIgBTAFQAQQBUAC4ARABFAFMASwBSAEkAUABUAEkAVgAuAEYAQQBLAFQATwBSAFMAVABVAEYARQBOACIALAAiAFMAVABBAFQALgBEAEUAUwBLAFIASQBQAFQASQBWAC4ATgBPAE0ASQBOAEEATAAiACwAIgBTAFQAQQBUAC4ARABFAFMASwBSAEkAUABUAEkAVgAuAEIARQBTAEMASABSAEkARgBUAFUATgBHACIALAAiAFMAVABBAFQALgBUAEEAQgBFAEwATABFACIALAAiAFMAVABBAFQALgBUAEEAQgBFAEwATABFAC4AUgBFAEwAQQBUAEkAVgAiACwAIgBTAFQAQQBUAC4ASQBRAEEAIgAsACIAUwBUAEEAVAAuAE0AQQBBAEQAIgAsACIAUwBUAEEAVAAuAEcARQBCAFUATgBEAEUATgBFAC4AVgBBAFIASQBBAE4AWgAiACwAIgBTAFQAQQBUAC4ARwBFAFAATwBPAEwAVABFAC4AVgBBAFIASQBBAE4AWgAiACwAIgBTAFQAQQBUAC4AUwBUAEEATgBEAEEAUgBEAEYARQBIAEwARQBSACIALAAiAFMAVABBAFQALgBTAFQARABGAEUASABMAEUAUgAiACwAIgBTAFQAQQBUAC4AVgBPAFIAWgBFAEkAQwBIAEUATgAiACwAIgBLAE8AUgBSAEUATAAuAEMAUgBBAE0ARQBSACIALAAiAEsATwBSAFIARQBMAC4AQwBSAEEATQBFAFIALgBUAEUAUwBUACIALAAiAEsATwBSAFIARQBMAC4ASwBFAE4ARABBAEwAIgAsACIASwBPAFIAUgBFAEwALgBLAEUATgBEAEEATAAuAFQARQBTAFQAIgAsACIASwBPAFIAUgBFAEwALgBTAFAARQBBAFIATQBBAE4AIgAsACIASwBPAFIAUgBFAEwALgBQAEUAQQBSAFMATwBOACIALAAiAEsATwBSAFIARQBMAC4AUABFAEEAUgBTAE8ATgAuAFQARQBTAFQAIgAsACIAUgBFAEcAUgBFAFMAUwBJAE8ATgAuAFIARQBTAEkARABVAEUATgAiACwAIgBLAFIAVQBTAEsAQQBMAC4AVwBBAEwATABJAFMALgBUAEUAUwBUACIALAAiAFAAQQBBAFIAVwBFAEkAUwBFAFIALgBUAC4AVABFAFMAVAAiACwAIgBQAEEAQQBSAFcARQBJAFMARQBSAC4AQQBCAC4AVABFAFMAVAAiACwAIgBQAEEAQQBSAFcARQBJAFMARQBSAC4ARgAuAFQARQBTAFQAIgAsACIAQQBCAC4AVABFAFMAVAAiACwAIgBTAFAAQQBMAFQARQBOAFMAVQBNAE0ARQAiACwAIgBaAEUASQBMAEUATgBTAFUATQBNAEUAIgAsACIASwBVAE0AVQBMAEEAVABJAFYARQBTAFUATQBNAEUAIgAsACIARwBSAFUAUABQAEUATgAuAFMAVQBNAE0ARQAiACwAIgBHAFIAVQBQAFAARQBOAC4AQQBOAFoAQQBIAEwAIgAsACIARwBSAFUAUABQAEUATgAuAE4AIgAsACIARwBSAFUAUABQAEUATgAuAE0ASQBUAFQARQBMAFcARQBSAFQAIgAsACIARwBSAFUAUABQAEUATgAuAE0ARQBEAEkAQQBOACIALAAiAEcAUgBVAFAAUABFAE4ALgBNAEkATgAiACwAIgBHAFIAVQBQAFAARQBOAC4ATQBBAFgAIgAsACIARwBSAFUAUABQAEUATgAuAFMAVABEAEEAQgBXACIALAAiAEcAUgBVAFAAUABFAE4ALgBTAEQAIgAsACIARwBSAFUAUABQAEUATgAuAFMARQAiACwAIgBHAFIAVQBQAFAARQBOAC4AUwBUAEEATgBEAEEAUgBEAEYARQBIAEwARQBSACIALAAiAEcAUgBVAFAAUABFAE4ALgBTAFQARABGAEUASABMAEUAUgAiACwAIgBHAFIAVQBQAFAARQBOAC4ASQBRAEEAIgAsACIASQBTAFQALgBWAEUASwBUAE8AUgAiACwAIgBTAEkATgBEAC4AQQBMAEwARQAuAEcATABFAEkAQwBIACIALAAiAEkAUwBUAC4AQQBMAEwARQAuAEcATABFAEkAQwBIACIALAAiAFYARQBLAFQATwBSAC4ATADEAE4ARwBFACIALAAiAFIARQBTAEkARABVAEUATgAiACwAIgBNAEQASQBNAEUATgBTAEkATwBOACIALAAiAE0AUwBQAFUAUgAiACwAIgBIAFcASQBFAEQARQBSAEgATwBMAEUATgAiACwAIgBWAFcASQBFAEQARQBSAEgATwBMAEUATgAiACwAIgBTAEUAUQBVAEUATgBaAC4ASQBOAFQARQBSAFYAQQBMAEwAIgAsACIATQBEAFIARQBJAEUAQwBLACIALAAiAFoAVQBGAEEATABMAFMATQBBAFQAUgBJAFgALgBOAE8AUgBNAEEATAAiACwAIgBUAEEAQgBFAEwATABFAE4ALgBBAFUAUwBXAEEASABMACIALAAiAFUATgBHANwATABUAEkARwBFAC4ATQBBAFIASwBJAEUAUgBFAE4AIgAsACIAVQBOAEcA3ABMAFQASQBHAEUALgBMANYAUwBDAEgARQBOACIALAAiAEUATgBUAEYARQBSAE4ARQAuAEYARQBIAEwARQBSACIALAAiAFMAQwBIAE4ARQBMAEwALgBLAE8ARABJAEUAUgBFAE4AIgAsACIATwBOAEUALgBIAE8AVAAiACwAIgBPAE4ARQAuAEgATwBUAC4AQwBPAEQASQBOAEcAIgBdACwAIgBsAG8AYwBhAGwAZQAiADoAewAiAGwAaQBzAHQAUwBlAHAAYQByAGEAdABvAHIAIgA6ACIAOwAiACwAIgByAG8AdwBTAGUAcABhAHIAYQB0AG8AcgAiADoAIgA7ACIALAAiAGMAbwBsAHUAbQBuAFMAZQBwAGEAcgBhAHQAbwByACIAOgAiAFwAXAAiACwAIgB0AGgAbwB1AHMAYQBuAGQAcwBTAGUAcABhAHIAYQB0AG8AcgAiADoAIgAnACIALAAiAHQAaABvAHUAcwBhAG4AZABzAFAAbwBzAGkAdABpAG8AbgBzACIAOgBbADMAXQAsACIAZABlAGMAaQBtAGEAbABTAGUAcABhAHIAYQB0AG8AcgAiADoAIgAuACIALAAiAGQAYQB0AGUATwByAGQAZQByACIAOgAiAEQATQBZACIALAAiAGMAdQByAHIAZQBuAGMAeQBTAHkAbQBiAG8AbAAiADoAIgBDAEgARgAiACwAIgBpAHMAQwB1AHIAcgBlAG4AYwB5AFMAeQBtAGIAbwBsAEwAZQBhAGQAIgA6AHQAcgB1AGUALAAiAGkAcwBDAHUAcgByAGUAbgBjAHkAUwBlAHAAQgB5AFMAcABhAGMAZQAiADoAdAByAHUAZQAsACIAcgBvAHcATABlAHQAdABlAHIAIgA6ACIAWgAiACwAIgBjAG8AbAB1AG0AbgBMAGUAdAB0AGUAcgAiADoAIgBTACIALAAiAHIAYwBMAGUAZgB0AEIAcgBhAGMAawBlAHQAIgA6ACIAKAAiACwAIgByAGMAUgBpAGcAaAB0AEIAcgBhAGMAawBlAHQAIgA6ACIAKQAiACwAIgBzAHQAYQB0AGUAbQBlAG4AdABTAGUAcABhAHIAYQB0AG8AcgAiADoAIgA7ADsAIgAsACIAbABvAGMAYQBsAGUATgBhAG0AZQAiADoAIgBkAGUALQBkAGUAIgB9AH0A</AFEJSONBlob>
</file>

<file path=customXml/itemProps1.xml><?xml version="1.0" encoding="utf-8"?>
<ds:datastoreItem xmlns:ds="http://schemas.openxmlformats.org/officeDocument/2006/customXml" ds:itemID="{41FEC3C0-82D0-2542-8EC3-FC13B3D04E4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E6A4668-80C8-C641-B422-6ED5D0FC0572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 (2)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Glahn Christian (glah)</dc:creator>
  <cp:lastModifiedBy>Glahn Christian (glah)</cp:lastModifiedBy>
  <dcterms:created xsi:type="dcterms:W3CDTF">2024-05-03T12:39:42Z</dcterms:created>
  <dcterms:modified xsi:type="dcterms:W3CDTF">2026-05-21T09:35:41Z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bb7c8b-3fd4-4dea-b697-0f2931e84efa_Enabled">
    <vt:lpwstr>true</vt:lpwstr>
  </property>
  <property fmtid="{D5CDD505-2E9C-101B-9397-08002B2CF9AE}" pid="3" name="MSIP_Label_29bb7c8b-3fd4-4dea-b697-0f2931e84efa_SetDate">
    <vt:lpwstr>2024-06-16T05:55:07Z</vt:lpwstr>
  </property>
  <property fmtid="{D5CDD505-2E9C-101B-9397-08002B2CF9AE}" pid="4" name="MSIP_Label_29bb7c8b-3fd4-4dea-b697-0f2931e84efa_Method">
    <vt:lpwstr>Privileged</vt:lpwstr>
  </property>
  <property fmtid="{D5CDD505-2E9C-101B-9397-08002B2CF9AE}" pid="5" name="MSIP_Label_29bb7c8b-3fd4-4dea-b697-0f2931e84efa_Name">
    <vt:lpwstr>29bb7c8b-3fd4-4dea-b697-0f2931e84efa</vt:lpwstr>
  </property>
  <property fmtid="{D5CDD505-2E9C-101B-9397-08002B2CF9AE}" pid="6" name="MSIP_Label_29bb7c8b-3fd4-4dea-b697-0f2931e84efa_SiteId">
    <vt:lpwstr>5d1a9f9d-201f-4a10-b983-451cf65cbc1e</vt:lpwstr>
  </property>
  <property fmtid="{D5CDD505-2E9C-101B-9397-08002B2CF9AE}" pid="7" name="MSIP_Label_29bb7c8b-3fd4-4dea-b697-0f2931e84efa_ActionId">
    <vt:lpwstr>0dc0f813-0f39-4a3c-a9cd-71ec3d6807eb</vt:lpwstr>
  </property>
  <property fmtid="{D5CDD505-2E9C-101B-9397-08002B2CF9AE}" pid="8" name="MSIP_Label_29bb7c8b-3fd4-4dea-b697-0f2931e84efa_ContentBits">
    <vt:lpwstr>0</vt:lpwstr>
  </property>
</Properties>
</file>