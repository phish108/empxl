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glah/code/phish108/empxl/"/>
    </mc:Choice>
  </mc:AlternateContent>
  <xr:revisionPtr revIDLastSave="0" documentId="13_ncr:1_{38FE3BCA-1D93-8D4B-AD6B-7010071C86BE}" xr6:coauthVersionLast="47" xr6:coauthVersionMax="47" xr10:uidLastSave="{00000000-0000-0000-0000-000000000000}"/>
  <bookViews>
    <workbookView xWindow="0" yWindow="880" windowWidth="36000" windowHeight="22500" xr2:uid="{485B2935-2AC4-CF45-85A3-1B3575BC80C2}"/>
  </bookViews>
  <sheets>
    <sheet name="Tabelle1" sheetId="1" r:id="rId1"/>
  </sheets>
  <definedNames>
    <definedName name="AB.TEST">T.TEST.S</definedName>
    <definedName name="ANOVA.TEST">_xlfn.LAMBDA(_xlpm.values,_xlpm.groups,_xlop.headers, _xlfn.LET(_xlpm.n_j, GROUP.COUNT(_xlpm.groups), _xlpm.group_k, COUNT(_xlpm.n_j), _xlpm.N_all, COUNT(_xlpm.values), _xlpm.df_1, _xlpm.group_k - 1, _xlpm.df_2, _xlpm.N_all - _xlpm.group_k, _xlpm.mu_all, AVERAGE(_xlpm.values), _xlpm.mu_j, GROUP.MEAN(_xlpm.values, _xlpm.groups), _xlpm.m_groups, 1 * (_xlpm.groups = TRANSPOSE(_xlfn.UNIQUE(_xlpm.groups))), _xlpm.t_SSB, SUM(_xlpm.n_j * (_xlpm.mu_j - _xlpm.mu_all) ^ 2), _xlpm.t_SSE, SUM((_xlpm.m_groups * _xlpm.values - _xlpm.m_groups * TRANSPOSE(_xlpm.mu_j)) ^ 2), _xlpm.F_value, (_xlpm.t_SSB / _xlpm.df_1) / (_xlpm.t_SSE / _xlpm.df_2), _xlpm.p_value, _xlfn.F.DIST.RT(_xlpm.F_value, _xlpm.df_1, _xlpm.df_2), _xlpm.results, _xlfn.HSTACK(_xlpm.F_value, _xlpm.df_1, _xlpm.df_2, _xlpm.p_value), IF(OR(_xlfn.ISOMITTED(_xlpm.headers), NOT(_xlpm.headers)), _xlpm.results, _xlfn.VSTACK(_xlfn.HSTACK("F", "df_1", "df_2", "p"), _xlpm.results))))</definedName>
    <definedName name="CHIQU.TEST.S">_xlfn.LAMBDA(_xlpm.x_i,_xlpm.y_i,_xlop.header, _xlfn.LET(_xlpm.n_ij, STAT.TABLE(_xlpm.x_i, _xlpm.y_i), IF(_xlfn.ISOMITTED(_xlpm.header), CHIQU.TEST.X(_xlpm.n_ij, FALSE), CHIQU.TEST.X(_xlpm.n_ij, _xlpm.header))))</definedName>
    <definedName name="CHIQU.TEST.X">_xlfn.LAMBDA(_xlpm.n_ij,_xlop.header, _xlfn.LET(_xlpm.n_i, ROWSUM(_xlpm.n_ij), _xlpm.n_j, COLSUM(_xlpm.n_ij), _xlpm.n, SUM(_xlpm.n_j), _xlpm.EW, _xlpm.n_i * _xlpm.n_j / _xlpm.n, _xlpm.v_xi2, SUM((_xlpm.n_ij - _xlpm.EW) ^ 2 / _xlpm.EW), _xlpm.df, MAX(COUNT(_xlpm.n_i), COUNT(_xlpm.n_j)) - 1, _xlpm.results, _xlfn.HSTACK(_xlfn.CHISQ.DIST.RT(_xlpm.v_xi2, _xlpm.df), _xlpm.df), IF(OR(_xlfn.ISOMITTED(_xlpm.header), NOT(_xlpm.header)), _xlpm.results, _xlfn.VSTACK(CHIQU.TEST2.HEADER(), _xlpm.results))))</definedName>
    <definedName name="CHIQU.TEST2">CHIQU.TEST.S</definedName>
    <definedName name="CHIQU.TEST2.HEADER">_xlfn.LAMBDA(_xlfn.HSTACK("p", "df"))</definedName>
    <definedName name="COLSUM">_xlfn.LAMBDA(_xlpm.matrix, _xlfn.BYCOL(_xlpm.matrix, _xleta.SUM))</definedName>
    <definedName name="CORR.CRAMER">_xlfn.LAMBDA(_xlpm.x_i,_xlpm.y_i, _xlfn.LET(_xlpm.n_i, STAT.TABLE(_xlpm.x_i), _xlpm.n_j, STAT.TABLE(_xlpm.y_i), _xlpm.div, MIN(COUNT(_xlpm.n_i), COUNT(_xlpm.n_j)), _xlpm.n, SUM(_xlpm.n_j), _xlpm.x_base, _xlpm.n_i * TRANSPOSE(_xlpm.n_j) / _xlpm.n, _xlpm.n_ij, STAT.TABLE(_xlpm.x_i, _xlpm.y_i), SQRT((SUM((_xlpm.n_ij - _xlpm.x_base) ^ 2 / _xlpm.x_base)) / (_xlpm.n * (_xlpm.div - 1)))))</definedName>
    <definedName name="CORR.KENDAL">_xlfn.LAMBDA(_xlpm.x_i,_xlpm.y_i, _xlfn.LET(_xlpm.s_n, COUNT(_xlpm.x_i), _xlpm.x_j, TRANSPOSE(_xlpm.x_i), _xlpm.y_j, TRANSPOSE(_xlpm.y_i), _xlpm.triangle, MTRIANGLE(_xlpm.s_n, TRUE, TRUE), _xlpm.tr_sign, STAT.SIGN(_xlpm.x_i - _xlpm.x_j) * STAT.SIGN(_xlpm.y_i - _xlpm.y_j) * _xlpm.triangle, _xlpm.n_c, SUM(1 * (_xlpm.tr_sign &gt; 0)), _xlpm.n_d, SUM(1 * (_xlpm.tr_sign &lt; 0)), _xlpm.m_k, MIN(_xlfn.UNIQUE(_xlpm.x_i), _xlfn.UNIQUE(_xlpm.y_i)), IF(_xlpm.s_n = COUNT(_xlpm.y_i), (_xlpm.n_c - _xlpm.n_d) * 2 / (_xlpm.s_n ^ 2 * ((_xlpm.m_k - 1) / _xlpm.m_k)), #VALUE!)))</definedName>
    <definedName name="CORR.PEARSON">_xlfn.LAMBDA(_xlpm.x_i,_xlpm.y_i, CORREL(_xlpm.x_i, _xlpm.y_i))</definedName>
    <definedName name="CORR.SPEARMAN">_xlfn.LAMBDA(_xlpm.left,_xlpm.right, CORREL(_xlfn.RANK.AVG(_xlpm.left, _xlpm.left), _xlfn.RANK.AVG(_xlpm.right, _xlpm.right)))</definedName>
    <definedName name="CUMSUM">_xlfn.LAMBDA(_xlpm.vector, _xlfn.SCAN(0, _xlpm.vector, _xlfn.LAMBDA(_xlpm.accu,_xlpm.value, _xlpm.accu + _xlpm.value)))</definedName>
    <definedName name="DUMMY.CODING">_xlfn.LAMBDA(_xlpm.variable,_xlop.header, _xlfn.LET(_xlpm.variable, _xlfn._xlws.FILTER(_xlpm.variable, NOT(ISERROR(_xlpm.variable))), _xlpm.k_names, TRANSPOSE(_xlfn.UNIQUE(_xlpm.variable)), _xlpm.k_ref, _xlfn.CHOOSECOLS(_xlpm.k_names, _xlfn.SEQUENCE(1, COUNTA(_xlpm.k_names) - 1)), _xlpm.codes, 1 * (_xlpm.variable = _xlpm.k_ref), IF(OR(_xlfn.ISOMITTED(_xlpm.header), NOT(_xlpm.header)), _xlpm.codes, _xlfn.VSTACK(_xlpm.k_ref, _xlpm.codes))))</definedName>
    <definedName name="DUNN.TEST">_xlfn.LAMBDA(_xlpm.values,_xlpm.groups,_xlop.adjustment, _xlfn.LET(_xlpm.ranks, _xlfn.RANK.AVG(_xlpm.values, _xlpm.values), _xlpm.n_all, COUNT(_xlpm.values), _xlpm.n_i, GROUP.COUNT(_xlpm.groups), _xlpm.group_i, _xlfn.UNIQUE(_xlpm.groups), _xlpm.ranksum_i, COLSUM(_xlpm.ranks * (_xlpm.groups = TRANSPOSE(_xlpm.group_i))) / TRANSPOSE(_xlpm.n_i), _xlpm.sigma_correction, _xlpm.n_all * (_xlpm.n_all + 1) / 12, _xlpm.bind_count, GROUP.COUNT(_xlpm.ranks), _xlpm.bind_correction, SUM(_xlpm.bind_count ^ 3 - _xlpm.bind_count) / (12 * (_xlpm.n_all - 1)), _xlpm.mat_triang, MTRIANGLE(COUNT(_xlpm.n_i), FALSE, TRUE), _xlpm.mat_W1, _xlpm.mat_triang * TRANSPOSE(_xlpm.ranksum_i), _xlpm.mat_W2, _xlpm.mat_triang * _xlpm.ranksum_i, _xlpm.mat_n1, _xlpm.mat_triang * TRANSPOSE(1 / _xlpm.n_i), _xlpm.mat_n2, _xlpm.mat_triang * 1 / _xlpm.n_i, _xlpm.sigma, SQRT((_xlpm.sigma_correction - _xlpm.bind_correction) * (_xlpm.mat_n1 + _xlpm.mat_n2)), _xlpm.delta_RS, _xlpm.mat_W1 - _xlpm.mat_W2, _xlpm.z_value, _xlpm.delta_RS / _xlpm.sigma, _xlpm.g_nbr, _xlfn.SEQUENCE(COUNT(_xlpm.n_i)), _xlpm.z_id_raw, _xlfn.TOCOL(_xlpm.g_nbr * _xlpm.mat_triang), _xlpm.s_id_raw, _xlfn.TOCOL(TRANSPOSE(_xlpm.g_nbr) * _xlpm.mat_triang), _xlpm.z_id, _xlfn._xlws.FILTER(_xlpm.z_id_raw, _xlpm.z_id_raw), _xlpm.s_id, _xlfn._xlws.FILTER(_xlpm.s_id_raw, _xlpm.s_id_raw), _xlpm.z_final, INDEX(_xlpm.z_value, _xlpm.z_id, _xlpm.s_id), _xlpm.m_pairs, SUM(_xlfn.SEQUENCE(COUNT(_xlpm.n_i), 1, 0)), _xlpm.p_value_raw, _xlfn.NORM.S.DIST(IF(_xlpm.z_final &gt; 0, -1 * _xlpm.z_final, _xlpm.z_final), TRUE), _xlpm.p_value, _xlfn.IFS(OR(_xlfn.ISOMITTED(_xlpm.adjustment), LOWER(_xlpm.adjustment) = "holm"), P.ADJ.HOLM(_xlpm.p_value_raw, _xlpm.m_pairs), LOWER(_xlpm.adjustment) = "bonferroni", P.ADJ.BONFERRONI(_xlpm.p_value_raw, _xlpm.m_pairs), LOWER(_xlpm.adjustment) = "hochberg", P.ADJ.HOCHBERG(_xlpm.p_value_raw, _xlpm.m_pairs), LOWER(_xlpm.adjustment) = "sidak", P.ADJ.SIDAK(_xlpm.p_value_raw, _xlpm.m_pairs), LOWER(_xlpm.adjustment) = "holmsidak", P.ADJ.HOLM_SIDAK(_xlpm.p_value_raw, _xlpm.m_pairs), LOWER(_xlpm.adjustment) = "holm-sidak", P.ADJ.HOLM_SIDAK(_xlpm.p_value_raw, _xlpm.m_pairs), LOWER(_xlpm.adjustment) = "holm_sidak", P.ADJ.HOLM_SIDAK(_xlpm.p_value_raw, _xlpm.m_pairs), TRUE, _xlpm.p_value_raw), _xlfn.VSTACK(_xlfn.HSTACK("A", "B", "Statistik", "p"), _xlfn.HSTACK(_xlfn.CHOOSEROWS(_xlpm.group_i, _xlpm.z_id), _xlfn.CHOOSEROWS(_xlpm.group_i, _xlpm.s_id), _xlpm.z_final, IF(_xlpm.p_value &gt; 1, 1, _xlpm.p_value)))))</definedName>
    <definedName name="ENTFERNE.FEHLER">REMOVE.INVALID</definedName>
    <definedName name="F.TEST.S">_xlfn.LAMBDA(_xlpm.a_v,_xlpm.u_v,_xlop.headers, _xlfn.LET(_xlpm.l_uv, _xlfn.TOCOL(_xlfn.UNIQUE(_xlpm.u_v)), _xlpm.result, IF(COUNTA(_xlpm.l_uv) = 2, _xlfn.F.TEST(_xlfn._xlws.FILTER(_xlpm.a_v, _xlpm.u_v = INDEX(_xlpm.u_v, 1, 1)), _xlfn._xlws.FILTER(_xlpm.a_v, _xlpm.u_v = INDEX(_xlpm.u_v, 2, 1))), #VALUE!), IF(OR(_xlfn.ISOMITTED(_xlpm.headers), NOT(_xlpm.headers)), _xlpm.result, _xlfn.VSTACK("p", _xlpm.result))))</definedName>
    <definedName name="GROUP.COUNT">_xlfn.LAMBDA(_xlpm.groups, _xlfn.CHOOSECOLS(_xlfn.GROUPBY(_xlpm.groups, values, _xleta.COUNTA, , 0), 2))</definedName>
    <definedName name="GROUP.IQR">_xlfn.LAMBDA(_xlpm.values,_xlpm.groups, _xlfn.CHOOSECOLS(_xlfn.GROUPBY(_xlpm.groups, _xlpm.values, STAT.IQR, , 0), 2))</definedName>
    <definedName name="GROUP.MAD">_xlfn.LAMBDA(_xlpm.values,_xlpm.groups, _xlfn.CHOOSECOLS(_xlfn.GROUPBY(_xlpm.groups, _xlpm.values, STAT.MAD, , 0), 2))</definedName>
    <definedName name="GROUP.MAX">_xlfn.LAMBDA(_xlpm.values,_xlpm.groups, _xlfn.CHOOSECOLS(_xlfn.GROUPBY(_xlpm.groups, _xlpm.values, _xleta.MAX, , 0), 2))</definedName>
    <definedName name="GROUP.MEAN">_xlfn.LAMBDA(_xlpm.values,_xlpm.groups, _xlfn.CHOOSECOLS(_xlfn.GROUPBY(_xlpm.groups, _xlpm.values, _xleta.AVERAGE, , 0), 2))</definedName>
    <definedName name="GROUP.MEDIAN">_xlfn.LAMBDA(_xlpm.values,_xlpm.groups, _xlfn.CHOOSECOLS(_xlfn.GROUPBY(_xlpm.groups, _xlpm.values, _xleta.MEDIAN, , 0), 2))</definedName>
    <definedName name="GROUP.MIN">_xlfn.LAMBDA(_xlpm.values,_xlpm.groups, _xlfn.CHOOSECOLS(_xlfn.GROUPBY(_xlpm.groups, _xlpm.values, _xleta.MIN, , 0), 2))</definedName>
    <definedName name="GROUP.SD">_xlfn.LAMBDA(_xlpm.values,_xlpm.groups, _xlfn.CHOOSECOLS(_xlfn.GROUPBY(_xlpm.groups, _xlpm.values, _xleta.STDEV.S, , 0), 2))</definedName>
    <definedName name="GROUP.SUM">_xlfn.LAMBDA(_xlpm.values,_xlpm.groups, _xlfn.CHOOSECOLS(_xlfn.GROUPBY(_xlpm.groups, _xlpm.values, _xleta.SUM, , 0), 2))</definedName>
    <definedName name="GRUPPEN.ANZAHL">GROUP.COUNT</definedName>
    <definedName name="GRUPPEN.IQA">GROUP.IQR</definedName>
    <definedName name="GRUPPEN.MAD">GROUP.MAD</definedName>
    <definedName name="GRUPPEN.MAX">GROUP.MAX</definedName>
    <definedName name="GRUPPEN.MEDIAN">GROUP.MEDIAN</definedName>
    <definedName name="GRUPPEN.MIN">GROUP.MIN</definedName>
    <definedName name="GRUPPEN.MITTELWERT">GROUP.MEAN</definedName>
    <definedName name="GRUPPEN.N">GROUP.COUNT</definedName>
    <definedName name="GRUPPEN.SD">GROUP.SD</definedName>
    <definedName name="GRUPPEN.SE">GROUP.SE</definedName>
    <definedName name="GRUPPEN.STANDARDFEHLER">GROUP.SE</definedName>
    <definedName name="GRUPPEN.STDABW">GROUP.SD</definedName>
    <definedName name="GRUPPEN.STDFEHLER">GROUP.SE</definedName>
    <definedName name="GRUPPEN.SUMME">GROUP.SUM</definedName>
    <definedName name="HREPEAT">_xlfn.LAMBDA(_xlpm.value,_xlpm.n_times, IF(AND(COUNTA(_xlpm.value) = 1, COUNT(_xlpm.n_times) = 1, _xlpm.n_times &gt; 0), IF(ISNUMBER(_xlpm.value) + ISLOGICAL(_xlpm.value), _xlfn.SEQUENCE(1, _xlpm.n_times, _xlpm.value, 0), IF(_xlfn.SEQUENCE(1, _xlpm.n_times), _xlpm.value)), #VALUE!))</definedName>
    <definedName name="HWIEDERHOLEN">HREPEAT</definedName>
    <definedName name="IS.ALL.EQUAL">_xlfn.LAMBDA(_xlpm.vector, AND(_xlpm.vector = INDEX(_xlpm.vector, 1, 1)))</definedName>
    <definedName name="IS.VECTOR">_xlfn.LAMBDA(_xlpm.vector, IFERROR(IS.ALL.EQUAL(_xlfn.MAP(REMOVE.INVALID(_xlpm.vector), _xleta.TYPE)), FALSE))</definedName>
    <definedName name="IST.ALLE.GLEICH">IS.ALL.EQUAL</definedName>
    <definedName name="IST.VEKTOR">IS.VECTOR</definedName>
    <definedName name="KORREL.CRAMER">CORR.CRAMER</definedName>
    <definedName name="KORREL.KENDAL">CORR.KENDAL</definedName>
    <definedName name="KORREL.PEARSON">CORR.PEARSON</definedName>
    <definedName name="KORREL.SPEARMAN">CORR.SPEARMAN</definedName>
    <definedName name="KRUSKAL_WALLIS.TEST">_xlfn.LAMBDA(_xlpm.values,_xlpm.groups,_xlop.headers, _xlfn.LET(_xlpm.n_all, COUNT(_xlpm.values), _xlpm.n_groups, COUNTA(_xlfn.UNIQUE(_xlpm.groups)), _xlpm.d_f, _xlpm.n_groups - 1, _xlpm.n_h, GROUP.COUNT(_xlpm.groups), _xlpm.ranks, _xlfn.RANK.AVG(_xlpm.values, _xlpm.values), _xlpm.b_bindings, COUNT(_xlfn.UNIQUE(_xlpm.ranks)) &lt; _xlpm.n_all, _xlpm.h_correction, -3 * (_xlpm.n_all + 1), _xlpm.h_factor, 12 / (_xlpm.n_groups * (_xlpm.n_groups + 1) - _xlpm.h_correction), _xlpm.m_groups, 1 * (_xlpm.groups = TRANSPOSE(_xlfn.UNIQUE(_xlpm.groups))), _xlpm.H_core, _xlpm.h_factor * SUM(COLSUM(_xlpm.m_groups * _xlpm.ranks) / TRANSPOSE(_xlpm.n_h)), _xlpm.bind_factor, 1 / (_xlpm.n_all ^ 3 - _xlpm.n_all), _xlpm.bind_count, GROUP.COUNT(_xlpm.ranks), _xlpm.bind_correction, 1 - SUM(_xlpm.bind_count ^ 3 - _xlpm.bind_count) * _xlpm.bind_factor, _xlpm.H_value, IF(_xlpm.b_bindings, _xlpm.H_core / _xlpm.bind_correction, _xlpm.H_core), _xlpm.p_value, _xlfn.CHISQ.DIST.RT(_xlpm.H_value, _xlpm.d_f), _xlpm.results, _xlfn.HSTACK(_xlpm.H_value, _xlpm.d_f, _xlpm.p_value), IF(OR(_xlfn.ISOMITTED(_xlpm.headers), NOT(_xlpm.headers)), _xlpm.results, _xlfn.VSTACK(_xlfn.HSTACK("H", "df", "p"), _xlpm.results))))</definedName>
    <definedName name="KUMULATIVESUMME">CUMSUM</definedName>
    <definedName name="MDIM">_xlfn.LAMBDA(_xlpm.matrix, _xlfn.HSTACK(ROWS(_xlpm.matrix), COLUMNS(_xlpm.matrix)))</definedName>
    <definedName name="MDIMENSION">MDIM</definedName>
    <definedName name="MDREIECK">MTRIANGLE</definedName>
    <definedName name="MSPUR">MTRACE</definedName>
    <definedName name="MTRACE">_xlfn.LAMBDA(_xlpm.matrix, IF(ROWS(_xlpm.matrix) = COLUMNS(_xlpm.matrix), _xlfn.LET(_xlpm.index, _xlfn.SEQUENCE(ROWS(_xlpm.matrix)), SUM(INDEX(_xlpm.matrix, _xlpm.index, _xlpm.index))), #VALUE!))</definedName>
    <definedName name="MTRIANGLE">_xlfn.LAMBDA(_xlpm.size,_xlop.p_lower,_xlop.p_strict, _xlfn.LET(_xlpm.b_lower, IF(_xlfn.ISOMITTED(_xlpm.p_lower), TRUE, _xlpm.p_lower), _xlpm.b_strict, IF(_xlfn.ISOMITTED(_xlpm.p_strict), FALSE, _xlpm.p_strict), IF(AND(COUNT(_xlpm.size) = 1, COUNTA(_xlpm.b_lower) = 1, COUNTA(_xlpm.b_strict) = 1), _xlfn.LET(_xlpm.vector, _xlfn.SEQUENCE(_xlpm.size), _xlpm.tvector, TRANSPOSE(_xlpm.vector), 1 * _xlfn.IFS(AND(_xlpm.b_lower, _xlpm.b_strict), _xlpm.vector &gt; _xlpm.tvector, _xlpm.b_lower, _xlpm.vector &gt;= _xlpm.tvector, _xlpm.b_strict, _xlpm.vector &lt; _xlpm.tvector, TRUE, _xlpm.vector &lt;= _xlpm.tvector)), #VALUE!)))</definedName>
    <definedName name="ONE.HOT">DUMMY.CODING</definedName>
    <definedName name="ONE.HOT.CODING">DUMMY.CODING</definedName>
    <definedName name="P.ADJ.BONFERRONI">_xlfn.LAMBDA(_xlpm.p_v,_xlpm.m_v, _xlpm.p_v * _xlpm.m_v)</definedName>
    <definedName name="P.ADJ.HOCHBERG">_xlfn.LAMBDA(_xlpm.p_v,_xlpm.m_v, _xlfn.LET(_xlpm.p_s, _xlfn._xlws.SORT(_xlpm.p_v), _xlpm.id_v, _xlfn.SEQUENCE(COUNT(_xlpm.p_v)), _xlpm.id_s, _xlfn.SORTBY(_xlpm.id_v, _xlpm.p_v), _xlpm.p_star, _xlpm.p_s * _xlpm.m_v / (_xlpm.m_v + 1 - _xlpm.id_v), _xlfn.SORTBY(_xlpm.p_star, _xlpm.id_s)))</definedName>
    <definedName name="P.ADJ.HOLM">_xlfn.LAMBDA(_xlpm.p_v,_xlpm.m_v, _xlfn.LET(_xlpm.p_s, _xlfn._xlws.SORT(_xlpm.p_v), _xlpm.id_v, _xlfn.SEQUENCE(COUNT(_xlpm.p_v)), _xlpm.id_s, _xlfn.SORTBY(_xlpm.id_v, _xlpm.p_v), _xlpm.p_star, _xlpm.p_s * (_xlpm.m_v + 1 - _xlpm.id_v), _xlfn.SORTBY(_xlpm.p_star, _xlpm.id_s)))</definedName>
    <definedName name="P.ADJ.HOLM_SIDAK">_xlfn.LAMBDA(_xlpm.p_v,_xlpm.m_v, _xlfn.LET(_xlpm.p_s, _xlfn._xlws.SORT(_xlpm.p_v), _xlpm.id_v, _xlfn.SEQUENCE(COUNT(_xlpm.p_v)), _xlpm.id_s, _xlfn.SORTBY(_xlpm.id_v, _xlpm.p_v), _xlpm.p_star, 1 - (1 - _xlpm.p_s) ^ (_xlpm.m_v + 1 - _xlpm.id_v), _xlfn.SORTBY(_xlpm.p_star, _xlpm.id_s)))</definedName>
    <definedName name="P.ADJ.SIDAK">_xlfn.LAMBDA(_xlpm.p_v,_xlpm.m_v, 1 - (1 - _xlpm.p_v) ^ _xlpm.m_v)</definedName>
    <definedName name="PAARWEISER.AB.TEST">PAIRWISE.T.TEST</definedName>
    <definedName name="PAARWEISER.T.TEST">PAIRWISE.T.TEST</definedName>
    <definedName name="PAIRWISE.F.TEST">_xlfn.LAMBDA(_xlpm.values,_xlpm.groups,_xlop.adjustment, _xlfn.LET(_xlpm.n_all, COUNT(_xlpm.values), _xlpm.group_names, _xlfn.UNIQUE(_xlpm.groups), _xlpm.k_all, COUNTA(_xlpm.group_names), _xlpm.m_triang, MTRIANGLE(_xlpm.k_all, , 1), _xlpm.group_id, _xlfn.SEQUENCE(_xlpm.k_all), _xlpm.grp_1, _xlfn.TOCOL(_xlpm.m_triang * _xlpm.group_id), _xlpm.grp_2, _xlfn.TOCOL(_xlpm.m_triang * TRANSPOSE(_xlpm.group_id)), _xlpm.g1_id, _xlfn._xlws.FILTER(_xlpm.grp_1, _xlpm.grp_1), _xlpm.g2_id, _xlfn._xlws.FILTER(_xlpm.grp_2, _xlpm.grp_2), _xlpm.g1_names, INDEX(_xlpm.group_names, _xlpm.g1_id), _xlpm.g2_names, INDEX(_xlpm.group_names, _xlpm.g2_id), _xlpm.p_values, _xlfn.MAP(_xlpm.g1_names, _xlpm.g2_names, _xlfn.LAMBDA(_xlpm.a_v,_xlpm.b_v, _xlfn.F.TEST(_xlfn._xlws.FILTER(_xlpm.values, _xlpm.groups = _xlpm.a_v), _xlfn._xlws.FILTER(_xlpm.values, _xlpm.groups = _xlpm.b_v)))), _xlpm.p_value_raw, IF(_xlpm.p_values &gt; 0.5, 1 - _xlpm.p_values, _xlpm.p_values), _xlpm.p_star, 2 * _xlfn.IFS(_xlfn.ISOMITTED(_xlpm.adjustment), P.ADJ.BONFERRONI(_xlpm.p_value_raw, _xlpm.k_all), LOWER(_xlpm.adjustment) = "holm", P.ADJ.HOLM(_xlpm.p_value_raw, _xlpm.k_all), LOWER(_xlpm.adjustment) = "bonferroni", P.ADJ.BONFERRONI(_xlpm.p_value_raw, _xlpm.k_all), LOWER(_xlpm.adjustment) = "hochberg", P.ADJ.HOCHBERG(_xlpm.p_value_raw, _xlpm.k_all), LOWER(_xlpm.adjustment) = "sidak", P.ADJ.SIDAK(_xlpm.p_value_raw, _xlpm.k_all), LOWER(_xlpm.adjustment) = "holmsidak", P.ADJ.HOLM_SIDAK(_xlpm.p_value_raw, _xlpm.k_all), LOWER(_xlpm.adjustment) = "holm-sidak", P.ADJ.HOLM_SIDAK(_xlpm.p_value_raw, _xlpm.k_all), LOWER(_xlpm.adjustment) = "holm_sidak", P.ADJ.HOLM_SIDAK(_xlpm.p_value_raw, _xlpm.k_all), TRUE, _xlpm.p_value_raw), _xlfn.HSTACK(_xlpm.g1_names, _xlpm.g2_names, IF(_xlpm.p_star &gt; 1, 1, _xlpm.p_star))))</definedName>
    <definedName name="PAIRWISE.T.TEST">_xlfn.LAMBDA(_xlpm.values,_xlpm.groups,_xlop.adjustment, _xlfn.LET(_xlpm.n_all, COUNT(_xlpm.values), _xlpm.group_names, _xlfn.UNIQUE(_xlpm.groups), _xlpm.k_all, COUNTA(_xlpm.group_names), _xlpm.m_triang, MTRIANGLE(_xlpm.k_all, , 1), _xlpm.group_id, _xlfn.SEQUENCE(_xlpm.k_all), _xlpm.grp_1, _xlfn.TOCOL(_xlpm.m_triang * _xlpm.group_id), _xlpm.grp_2, _xlfn.TOCOL(_xlpm.m_triang * TRANSPOSE(_xlpm.group_id)), _xlpm.g1_id, _xlfn._xlws.FILTER(_xlpm.grp_1, _xlpm.grp_1), _xlpm.g2_id, _xlfn._xlws.FILTER(_xlpm.grp_2, _xlpm.grp_2), _xlpm.g1_names, INDEX(_xlpm.group_names, _xlpm.g1_id), _xlpm.g2_names, INDEX(_xlpm.group_names, _xlpm.g2_id), _xlpm.p_values, _xlfn.MAP(_xlpm.g1_names, _xlpm.g2_names, _xlfn.LAMBDA(_xlpm.a_v,_xlpm.b_v, _xlfn.T.TEST(_xlfn._xlws.FILTER(_xlpm.values, _xlpm.groups = _xlpm.a_v), _xlfn._xlws.FILTER(_xlpm.values, _xlpm.groups = _xlpm.b_v), 2, 3))), _xlpm.p_value_raw, IF(_xlpm.p_values &gt; 0.5, 1 - _xlpm.p_values, _xlpm.p_values), _xlpm.p_star, 2 * _xlfn.IFS(_xlfn.ISOMITTED(_xlpm.adjustment), P.ADJ.BONFERRONI(_xlpm.p_value_raw, _xlpm.k_all), LOWER(_xlpm.adjustment) = "holm", P.ADJ.HOLM(_xlpm.p_value_raw, _xlpm.k_all), LOWER(_xlpm.adjustment) = "bonferroni", P.ADJ.BONFERRONI(_xlpm.p_value_raw, _xlpm.k_all), LOWER(_xlpm.adjustment) = "hochberg", P.ADJ.HOCHBERG(_xlpm.p_value_raw, _xlpm.k_all), LOWER(_xlpm.adjustment) = "sidak", P.ADJ.SIDAK(_xlpm.p_value_raw, _xlpm.k_all), LOWER(_xlpm.adjustment) = "holmsidak", P.ADJ.HOLM_SIDAK(_xlpm.p_value_raw, _xlpm.k_all), LOWER(_xlpm.adjustment) = "holm-sidak", P.ADJ.HOLM_SIDAK(_xlpm.p_value_raw, _xlpm.k_all), LOWER(_xlpm.adjustment) = "holm_sidak", P.ADJ.HOLM_SIDAK(_xlpm.p_value_raw, _xlpm.k_all), TRUE, _xlpm.p_value_raw), _xlfn.HSTACK(_xlpm.g1_names, _xlpm.g2_names, IF(_xlpm.p_star &gt; 1, 1, _xlpm.p_star))))</definedName>
    <definedName name="PQ.RENAME.HELPER">_xlfn.LAMBDA(_xlpm.names,_xlpm.labels, _xlfn.TEXTJOIN(",", , _xlfn.BYROW(_xlfn.MAP(_xlfn.HSTACK(_xlpm.labels, _xlpm.names), _xlfn.LAMBDA(_xlpm.string, """" &amp; _xlpm.string &amp; """")), _xlfn.LAMBDA(_xlpm.row, "{" &amp; _xlfn.TEXTJOIN(",", , _xlpm.row) &amp; "}"))))</definedName>
    <definedName name="PREP.ALTERNATIVE">_xlfn.LAMBDA(_xlpm.alt, _xlfn.XLOOKUP(LEFT(LOWER(_xlpm.alt), 1), {"t";"g";"l";"r";"k";"u";"b"}, {"t";"g";"l";"g";"l";"t";"t"}, #VALUE!))</definedName>
    <definedName name="QUICK.CODE">_xlfn.LAMBDA(_xlpm.variable,_xlpm.order, _xlfn.XMATCH(_xlpm.variable, _xlpm.order))</definedName>
    <definedName name="RANDOM.NORM">_xlfn.LAMBDA(_xlpm.p_n,_xlop.mean,_xlop.sdev, _xlfn.LET(_xlpm.mean, IF(_xlfn.ISOMITTED(_xlpm.mean), 0, _xlpm.mean), _xlpm.sdev, IF(_xlfn.ISOMITTED(_xlpm.sdev), 1, _xlpm.sdev), SQRT(-2 * LN(_xlfn.RANDARRAY(_xlpm.p_n))) + COS(2 * PI() * _xlfn.RANDARRAY(_xlpm.p_n)) * _xlpm.sdev + _xlpm.mean))</definedName>
    <definedName name="REGRESSION">_xlfn.LAMBDA(_xlpm.A_VAR,_xlpm.UA_VAR, _xlfn.LET(_xlpm.KOEFMAT, _xlfn.HSTACK(_xlfn.SEQUENCE(ROWS(_xlpm.A_VAR), 1, 1, 0), _xlpm.UA_VAR), _xlpm.REDDIM, MMULT(TRANSPOSE(_xlpm.KOEFMAT), _xlpm.KOEFMAT), MMULT(MMULT(MINVERSE(_xlpm.REDDIM), TRANSPOSE(_xlpm.KOEFMAT)), _xlpm.A_VAR)))</definedName>
    <definedName name="REGRESSION.RESIDUALS">_xlfn.LAMBDA(_xlpm.A_VAR,_xlpm.UA_VAR,_xlpm.KOEF, _xlfn.LET(_xlpm.KOEFMAT, _xlfn.HSTACK(_xlfn.SEQUENCE(ROWS(_xlpm.A_VAR), 1, 1, 0), _xlpm.UA_VAR), _xlpm.ESTIMATES, MMULT(_xlpm.KOEFMAT, _xlpm.KOEF), _xlpm.ESTIMATES - _xlpm.A_VAR))</definedName>
    <definedName name="REGRESSION.RESIDUEN">REGRESSION.RESIDUALS</definedName>
    <definedName name="REMOVE.INVALID">_xlfn.LAMBDA(_xlpm.vectors, _xlfn.LET(_xlpm.invalid, IFERROR(_xlfn.BYROW(_xlpm.vectors, _xlfn.LAMBDA(_xlpm.zeile, AND(_xlpm.zeile))), FALSE), _xlfn._xlws.FILTER(_xlpm.vectors, _xlpm.invalid)))</definedName>
    <definedName name="ROWSUM">_xlfn.LAMBDA(_xlpm.matrix, _xlfn.BYROW(_xlpm.matrix, _xleta.SUM))</definedName>
    <definedName name="SCHEMA.CHOOSE">_xlfn.LAMBDA(_xlpm.data,_xlpm.types,_xlop.type, _xlfn.LET(_xlpm.type, IF(_xlfn.ISOMITTED(_xlpm.type), "m", LEFT(LOWER(_xlpm.type), 1)), _xlpm.types, LEFT(LOWER(_xlpm.types), 1), IF(COLUMNS(_xlpm.data) = 1, TRANSPOSE(_xlfn._xlws.FILTER(_xlpm.data, _xlpm.type = _xlpm.types)), _xlfn.CHOOSECOLS(_xlpm.data, _xlfn._xlws.FILTER(_xlfn.SEQUENCE(COUNTA(_xlpm.types)), _xlpm.type = _xlpm.types)))))</definedName>
    <definedName name="SCHNELL.KODIEREN">QUICK.CODE</definedName>
    <definedName name="SEQUENCE.RANGE">_xlfn.LAMBDA(_xlpm.a_v,_xlop.b_or_step,_xlop.step, _xlfn.LET(_xlpm.a_vs, _xlfn.TOCOL(_xlpm.a_v), _xlpm.n_a, COUNT(_xlpm.a_vs), _xlpm.b_v, IF(AND(_xlpm.n_a = 2, _xlfn.ISOMITTED(_xlpm.b_or_step), _xlfn.ISOMITTED(_xlpm.step)), INDEX(_xlpm.a_vs, 2, 1), _xlpm.b_or_step), _xlpm.step, _xlfn.IFS(AND(_xlfn.ISOMITTED(_xlpm.b_or_step), _xlfn.ISOMITTED(_xlpm.step)), 1, AND(_xlpm.n_a = 2, _xlfn.ISOMITTED(_xlpm.step)), _xlpm.b_or_step, _xlfn.ISOMITTED(_xlpm.step), 1, TRUE, _xlpm.step), _xlpm.a_v, INDEX(_xlpm.a_vs, 1, 1), _xlpm.s_delta, INT(_xlpm.b_v - _xlpm.a_v) + 1, _xlfn.SEQUENCE(_xlpm.s_delta, 1, _xlpm.a_v, _xlpm.step)))</definedName>
    <definedName name="SEQUENZ.INTERVALL">SEQUENCE.RANGE</definedName>
    <definedName name="SIND.ALLE.GLEICH">IS.ALL.EQUAL</definedName>
    <definedName name="SPALTENSUMME">COLSUM</definedName>
    <definedName name="STAT.CORRECT.PVALUE">_xlfn.LAMBDA(_xlpm.p_value,_xlop.alternative, _xlfn.LET(_xlpm.alt, IF(_xlfn.ISOMITTED(_xlpm.alternative), "t", _xlpm.alternative), IFERROR(_xlfn.SWITCH(_xlpm.alt, "l", _xlpm.p_value, "g", 1 - _xlpm.p_value, "t", 2 * MIN(_xlpm.p_value, 1 - _xlpm.p_value), ), #VALUE!)))</definedName>
    <definedName name="STAT.DESCRIBE">_xlfn.LAMBDA(_xlpm.data,_xlop.type,_xlop.names, _xlfn.LET(_xlpm.type, IF(_xlfn.ISOMITTED(_xlpm.type), "m", LEFT(LOWER(_xlpm.type), 1)), _xlpm.colids, _xlfn.SEQUENCE(COLUMNS(_xlpm.data)), _xlpm.vals, _xlfn.CHOOSEROWS(_xlfn.REDUCE(_xlfn.SEQUENCE(1, IF(_xlpm.type = "o", 5, 8)), _xlpm.colids, _xlfn.LAMBDA(_xlpm.lines,_xlpm.colid, _xlfn.LET(_xlpm.raw_values, _xlfn.CHOOSECOLS(_xlpm.data, _xlpm.colid), _xlpm.values, _xlfn._xlws.FILTER(_xlpm.raw_values, ISNUMBER(_xlpm.raw_values)), _xlpm.cnt_values, COUNT(_xlpm.values), _xlpm.basic_stats, _xlfn.HSTACK(MIN(_xlpm.values), MEDIAN(_xlpm.values), MAX(_xlpm.values), STAT.IQR(_xlpm.values), STAT.MAD(_xlpm.values)), _xlpm.sdev, _xlfn.STDEV.S(_xlpm.values), _xlfn.VSTACK(_xlpm.lines, IF(_xlpm.type = "o", _xlfn.HSTACK(_xlpm.cnt_values, _xlpm.basic_stats), _xlfn.HSTACK(_xlpm.cnt_values, AVERAGE(_xlpm.values), _xlpm.sdev, _xlpm.sdev / SQRT(_xlpm.cnt_values), _xlpm.basic_stats)))))), _xlpm.colids + 1), IF(_xlfn.ISOMITTED(_xlpm.names), _xlfn.HSTACK(_xlpm.colids, _xlpm.vals), _xlfn.HSTACK(TRANSPOSE(_xlpm.names), _xlpm.vals))))</definedName>
    <definedName name="STAT.DESCRIBE.LABELS">_xlfn.LAMBDA(_xlop.type, _xlfn.LET(_xlpm.type, IF(_xlfn.ISOMITTED(_xlpm.type), "m", LEFT(LOWER(_xlpm.type), 1)), _xlpm.labels_base, TRANSPOSE({"id";"n"}), _xlpm.labels_m, TRANSPOSE({"mean";"stddev";"stderr"}), _xlpm.labels_o, TRANSPOSE({"min";"median";"max";"IQR";"mad"}), IF(_xlpm.type = "o", _xlfn.HSTACK(_xlpm.labels_base, _xlpm.labels_o), _xlfn.HSTACK(_xlpm.labels_base, _xlpm.labels_m, _xlpm.labels_o))))</definedName>
    <definedName name="STAT.DESCRIBE.NOMINAL">_xlfn.LAMBDA(_xlpm.data,_xlop.variable, _xlfn.LET(_xlpm.variable, IF(_xlfn.ISOMITTED(_xlpm.variable), "", _xlpm.variable), _xlfn.VSTACK(_xlfn.HSTACK(_xlpm.variable, "Absolut", "Relativ"), _xlfn.HSTACK(STAT.TABLE(_xlpm.data, TRUE), STAT.TABLE.RELATIVE(_xlpm.data)))))</definedName>
    <definedName name="STAT.DESKRIPTIV">STAT.DESCRIBE</definedName>
    <definedName name="STAT.DESKRIPTIV.BESCHRIFTUNG">STAT.DESCRIBE.LABELS</definedName>
    <definedName name="STAT.DESKRIPTIV.FAKTORSTUFEN">STAT.DESCRIBE.NOMINAL</definedName>
    <definedName name="STAT.DESKRIPTIV.MERKMALE">STAT.DESCRIBE.NOMINAL</definedName>
    <definedName name="STAT.DESKRIPTIV.NOMINAL">STAT.DESCRIBE.NOMINAL</definedName>
    <definedName name="STAT.GEBUNDENE.VARIANZ">STAT.POOLED.VARIANCE</definedName>
    <definedName name="STAT.GEPOOLTE.VARIANZ">STAT.POOLED.VARIANCE</definedName>
    <definedName name="STAT.IQA">STAT.IQR</definedName>
    <definedName name="STAT.IQR">_xlfn.LAMBDA(_xlpm.vector_or_matrix, SUM(_xlfn.QUARTILE.INC(_xlpm.vector_or_matrix, {3;1}) * {1;-1}))</definedName>
    <definedName name="STAT.MAD">_xlfn.LAMBDA(_xlpm.vector_or_matrix, MEDIAN(ABS(_xlpm.vector_or_matrix - MEDIAN(_xlpm.vector_or_matrix))))</definedName>
    <definedName name="STAT.POOLED.VARIANCE">_xlfn.LAMBDA(_xlpm.values,_xlpm.groups, _xlfn.LET(_xlpm.n_i, STAT.TABLE(_xlpm.groups) - 1, _xlpm.sum_n, SUM(_xlpm.n_i), _xlpm.s_i, GROUP.SD(_xlpm.values, _xlpm.groups) ^ 2, SUMPRODUCT(_xlpm.n_i, _xlpm.s_i) / _xlpm.sum_n))</definedName>
    <definedName name="STAT.SE">_xlfn.LAMBDA(_xlpm.values, _xlfn.LET(_xlpm.sdev, _xlfn.STDEV.S(_xlpm.values), _xlpm.cnt_values, COUNT(_xlpm.values), _xlpm.sdev / SQRT(_xlpm.cnt_values)))</definedName>
    <definedName name="STAT.SIGN">_xlfn.LAMBDA(_xlpm.value, -1 * (_xlpm.value &lt; 0) + (_xlpm.value &gt; 0))</definedName>
    <definedName name="STAT.STANDARDFEHLER">STAT.SE</definedName>
    <definedName name="STAT.STD.ERROR">STAT.SE</definedName>
    <definedName name="STAT.STDFEHLER">STAT.SE</definedName>
    <definedName name="STAT.TABELLE">STAT.TABLE</definedName>
    <definedName name="STAT.TABELLE.RELATIV">STAT.TABLE.RELATIVE</definedName>
    <definedName name="STAT.TABLE">_xlfn.LAMBDA(_xlpm.aval,_xlop.bval_or_heading,_xlop.heading, _xlfn.LET(_xlpm.mdim_a, ROWS(_xlpm.aval) - COLUMNS(_xlpm.aval), _xlpm.aval, IF(_xlpm.mdim_a &gt; 0, _xlfn.TOCOL(_xlpm.aval), _xlfn.TOROW(_xlpm.aval)), _xlpm.n_aval, COUNTA(_xlpm.aval), _xlpm.id_aval, _xlfn.UNIQUE(_xlpm.aval), _xlpm.b_p1, _xlfn.IFS(_xlfn.ISOMITTED(_xlpm.bval_or_heading), 0, COUNTA(_xlpm.bval_or_heading) = 1, 1, COUNTA(_xlpm.bval_or_heading) = _xlpm.n_aval, 2, TRUE, 0), _xlpm.heading, _xlfn.IFS(_xlpm.b_p1 = 1, N(_xlpm.bval_or_heading), _xlfn.ISOMITTED(_xlpm.heading), 0, TRUE, N(_xlpm.heading)) &lt;&gt; 0, _xlpm.bval, IF(_xlpm.b_p1 = 2, _xlpm.bval_or_heading, IF(_xlpm.mdim_a &gt; 0, VREPEAT(1, _xlpm.n_aval), HREPEAT(1, _xlpm.n_aval))), _xlpm.id_bval, TRANSPOSE(_xlfn.UNIQUE(_xlpm.bval)), _xlpm.id_avalT, TRANSPOSE(_xlpm.id_aval), _xlpm.results, MMULT(TRANSPOSE((ISERROR(_xlpm.id_avalT) + ISERROR(_xlpm.aval) - ISERROR(_xlpm.aval) * ISERROR(_xlpm.id_avalT)) * IFERROR(ERROR.TYPE(_xlpm.id_avalT) = ERROR.TYPE(_xlpm.aval), 0) + IFERROR(1 * (_xlpm.id_avalT = _xlpm.aval), 0)), (ISERROR(_xlpm.id_bval) + ISERROR(_xlpm.bval) - ISERROR(_xlpm.bval) * ISERROR(_xlpm.id_bval)) * IFERROR(ERROR.TYPE(_xlpm.id_bval) = ERROR.TYPE(_xlpm.bval), 0) + IFERROR(1 * (_xlpm.id_bval = _xlpm.bval), 0)), IF(_xlpm.heading, IF(_xlpm.b_p1 = 2, _xlfn.VSTACK(_xlfn.HSTACK("", _xlpm.id_bval), _xlfn.HSTACK(_xlpm.id_aval, _xlpm.results)), _xlfn.HSTACK(_xlpm.id_aval, _xlpm.results)), _xlpm.results)))</definedName>
    <definedName name="STAT.TABLE.RELATIVE">_xlfn.LAMBDA(_xlpm.aval,_xlop.bval_or_heading,_xlop.heading, _xlfn.LET(_xlpm.b_p1, _xlfn.IFS(_xlfn.ISOMITTED(_xlpm.bval_or_heading), 0, COUNTA(_xlpm.bval_or_heading) = 1, 1, COUNTA(_xlpm.bval_or_heading) = COUNTA(_xlpm.aval), 2, TRUE, 0), _xlpm.heading, _xlfn.IFS(_xlpm.b_p1 = 1, N(_xlpm.bval_or_heading), _xlfn.ISOMITTED(_xlpm.heading), 0, TRUE, N(_xlpm.heading)) &lt;&gt; 0, _xlpm.tab, IF(_xlpm.b_p1 = 2, STAT.TABLE(_xlpm.aval, _xlpm.bval_or_heading), STAT.TABLE(_xlpm.aval)), _xlpm.totals, SUM(_xlpm.tab), _xlpm.results, _xlpm.tab / _xlpm.totals, _xlpm.id_aval, _xlfn.UNIQUE(_xlpm.aval), _xlpm.id_bval, IF(_xlpm.b_p1 = 2, TRANSPOSE(_xlfn.UNIQUE(_xlpm.bval_or_heading)), #N/A), IF(_xlpm.heading, IF(_xlpm.b_p1 = 2, _xlfn.VSTACK(_xlfn.HSTACK("", _xlpm.id_bval), _xlfn.HSTACK(_xlpm.id_aval, _xlpm.results)), _xlfn.HSTACK(_xlpm.id_aval, _xlpm.results)), _xlpm.results)))</definedName>
    <definedName name="STAT.VORZEICHEN">STAT.SIGN</definedName>
    <definedName name="T.TEST.S">_xlfn.LAMBDA(_xlpm.p_values,_xlpm.p_groups,_xlop.alternative,_xlop.paired, _xlfn.LET(_xlpm.ab_names, _xlfn.UNIQUE(_xlpm.p_groups), _xlpm.paired, IF(_xlfn.ISOMITTED(_xlpm.paired), 3, IF(_xlpm.paired, 1, 3)), _xlpm.alternative, IF(_xlfn.ISOMITTED(_xlpm.alternative), "t", PREP.ALTERNATIVE(_xlpm.alternative)), _xlpm.altV, 1 + (_xlpm.alternative = "t"), _xlpm.altO, _xlpm.alternative = "g", _xlpm.g_1, _xlfn.CHOOSEROWS(_xlpm.ab_names, 1), _xlpm.g_2, _xlfn.CHOOSEROWS(_xlpm.ab_names, 2), _xlpm.p_v, IF(COUNTA(_xlpm.ab_names) = 2, _xlfn.T.TEST(_xlfn._xlws.FILTER(_xlpm.p_values, _xlpm.p_groups = _xlpm.g_1), _xlfn._xlws.FILTER(_xlpm.p_values, _xlpm.p_groups = _xlpm.g_2), _xlpm.altV, _xlpm.paired), #VALUE!), _xlpm.mw_1, AVERAGE(_xlfn._xlws.FILTER(_xlpm.p_values, _xlpm.p_groups = _xlpm.g_1)), _xlpm.mw_2, AVERAGE(_xlfn._xlws.FILTER(_xlpm.p_values, _xlpm.p_groups = _xlpm.g_2)), IF(OR(AND(_xlpm.altO, _xlpm.mw_1 &gt; _xlpm.mw_2), AND(_xlpm.alternative = "l", _xlpm.mw_1 &lt; _xlpm.mw_2)), 1 - _xlpm.p_v, _xlpm.p_v)))</definedName>
    <definedName name="TABELLEN.AUSWAHL">TABLE.SELECT</definedName>
    <definedName name="TABLE.SELECT">_xlfn.LAMBDA(_xlpm.tab_name,_xlpm.col_names,_xlop.with_headers, _xlfn.LET(_xlpm.n_rows, ROWS(INDIRECT(_xlpm.tab_name)), _xlpm.col_refs, _xlpm.tab_name &amp; "[" &amp; _xlpm.col_names &amp; "]", _xlpm.no_rows, _xlfn.SEQUENCE(_xlpm.n_rows), _xlpm.no_cols, _xlfn.SEQUENCE(COUNTA(_xlpm.col_names)) + 1, _xlpm.col_headers, IF(ROWS(_xlpm.col_names) &gt; COLUMNS(_xlpm.col_names), TRANSPOSE(_xlpm.col_names), _xlpm.col_names), _xlpm.result, _xlfn.CHOOSECOLS(_xlfn.REDUCE(_xlpm.no_rows, _xlpm.col_refs, _xlfn.LAMBDA(_xlpm.accu,_xlpm.col_ref, _xlfn.HSTACK(_xlpm.accu, _xlfn.LET(_xlpm.values, INDIRECT(_xlpm.col_ref), IF(ISBLANK(_xlpm.values), #N/A, _xlpm.values))))), _xlpm.no_cols), IF(OR(_xlfn.ISOMITTED(_xlpm.with_headers), NOT(_xlpm.with_headers)), _xlpm.result, _xlfn.VSTACK(_xlpm.col_headers, _xlpm.result))))</definedName>
    <definedName name="UNGÜLTIGE.LÖSCHEN">REMOVE.INVALID</definedName>
    <definedName name="VEKTOR.LÄNGE">VLENGTH</definedName>
    <definedName name="VLENGTH">_xlfn.LAMBDA(_xlpm.vector, _xlfn.LET(_xlpm.cols, COLUMNS(_xlpm.vector), _xlpm.length, IS.VECTOR(_xlpm.vector) * (_xlpm.cols * (_xlpm.cols &lt;&gt; 1) + ROWS(_xlpm.vector) * (_xlpm.cols = 1)), IF(_xlpm.length, _xlpm.length, #VALUE!)))</definedName>
    <definedName name="VREPEAT">_xlfn.LAMBDA(_xlpm.value,_xlpm.n_times, IF(AND(COUNTA(_xlpm.value) = 1, COUNT(_xlpm.n_times) = 1, _xlpm.n_times &gt; 0), IF(ISNUMBER(_xlpm.value) + ISLOGICAL(_xlpm.value), _xlfn.SEQUENCE(_xlpm.n_times, 1, _xlpm.value, 0), IF(_xlfn.SEQUENCE(_xlpm.n_times), _xlpm.value)), #VALUE!))</definedName>
    <definedName name="VWIEDERHOLEN">VREPEAT</definedName>
    <definedName name="WILCOXON.TEST">_xlfn.LAMBDA(_xlpm.p_values,_xlpm.p_groups,_xlop.alternative,_xlop.paired,_xlop.correct, _xlfn.LET(_xlpm.alternative, IF(_xlfn.ISOMITTED(_xlpm.alternative), "t", PREP.ALTERNATIVE(_xlpm.alternative)), _xlpm.correct, IF(_xlfn.ISOMITTED(_xlpm.correct), TRUE, _xlpm.correct), _xlpm.paired, IF(_xlfn.ISOMITTED(_xlpm.paired), FALSE, _xlpm.paired), _xlpm.ab_names, _xlfn.UNIQUE(_xlpm.p_groups), _xlpm.ab_n, COUNTA(_xlpm.ab_names), _xlpm.n_ab, GROUP.COUNT(_xlpm.p_groups), IF(AND(_xlpm.ab_n = 2, _xlpm.n_ab &gt; 1, OR(NOT(_xlpm.paired), IS.ALL.EQUAL(_xlpm.n_ab))), _xlfn.LET(_xlpm.rank, _xlfn.RANK.AVG(_xlpm.p_values, _xlpm.p_values), _xlpm.STATISTIC, MIN(GROUP.SUM(_xlpm.rank, _xlpm.p_groups) - _xlpm.n_ab * (_xlpm.n_ab + 1) / 2), _xlpm.prod_ab, PRODUCT(_xlpm.n_ab), _xlpm.sum_ab, SUM(_xlpm.n_ab), _xlpm.z_value, _xlpm.STATISTIC - _xlpm.prod_ab / 2, _xlpm.correctTies, (COUNT(_xlfn.UNIQUE(_xlpm.rank)) &lt; COUNT(_xlpm.rank)) * _xlfn.LET(_xlpm.NTIES, STAT.TABLE(_xlpm.rank), SUM(_xlpm.NTIES ^ 3 - _xlpm.NTIES) / (_xlpm.sum_ab * (_xlpm.sum_ab - 1))), _xlpm.SIGMA, SQRT((_xlpm.prod_ab * ((_xlpm.sum_ab + 1) - _xlpm.correctTies)) / 12), _xlpm.correction_value, _xlpm.correct * _xlfn.SWITCH(_xlpm.alternative, "t", STAT.SIGN(_xlpm.z_value) * 0.5, "l", -0.5, "g", 0.5, ), _xlpm.ZVAL, (_xlpm.z_value - _xlpm.correction_value) / _xlpm.SIGMA, _xlpm.PVAL, STAT.CORRECT.PVALUE(_xlfn.NORM.DIST(_xlpm.ZVAL, 0, 1, TRUE)), _xlfn.VSTACK(_xlfn.HSTACK("Statistik", "Z-Wert", "p-Wert", "Alternative"), _xlfn.HSTACK(_xlpm.STATISTIC, _xlpm.ZVAL, _xlpm.PVAL, _xlfn.TEXTJOIN(_xlfn.SWITCH(_xlpm.alternative, "t", "&lt;&gt;", "l", "&lt;", "g", "&gt;"), , _xlpm.ab_names)))), #VALUE!)))</definedName>
    <definedName name="ZEILENSUMME">ROWSUM</definedName>
    <definedName name="ZUFALLSMATRIX.NORMAL">RANDOM.NORM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 a="1"/>
  <c r="G35" i="1" s="1"/>
  <c r="F35" i="1" a="1"/>
  <c r="F35" i="1" s="1"/>
  <c r="F33" i="1" a="1"/>
  <c r="F33" i="1"/>
  <c r="F32" i="1" a="1"/>
  <c r="F32" i="1"/>
  <c r="F19" i="1" a="1"/>
  <c r="F19" i="1" s="1"/>
  <c r="F6" i="1" a="1"/>
  <c r="F6" i="1" s="1"/>
  <c r="F4" i="1" a="1"/>
  <c r="F4" i="1" s="1"/>
  <c r="F3" i="1" a="1"/>
  <c r="F3" i="1" s="1"/>
  <c r="F2" i="1"/>
  <c r="D2" i="1" a="1"/>
  <c r="D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6541058-BD53-1C4B-83B2-4EF0CAAF83B3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3E6A4668-80C8-C641-B422-6ED5D0FC0572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291AB-BD5C-BF43-B92A-D81E288BC086}">
  <dimension ref="A2:P41"/>
  <sheetViews>
    <sheetView tabSelected="1" workbookViewId="0">
      <selection activeCell="J37" sqref="J37"/>
    </sheetView>
  </sheetViews>
  <sheetFormatPr baseColWidth="10" defaultRowHeight="16" x14ac:dyDescent="0.2"/>
  <sheetData>
    <row r="2" spans="1:16" x14ac:dyDescent="0.2">
      <c r="A2">
        <v>3</v>
      </c>
      <c r="B2">
        <v>5</v>
      </c>
      <c r="D2" t="e" cm="1">
        <f t="array" ref="D2">KORREL.KENDAL(A2:A12,B2:B12)</f>
        <v>#DIV/0!</v>
      </c>
      <c r="F2">
        <f>COUNT(A2:A12)</f>
        <v>11</v>
      </c>
    </row>
    <row r="3" spans="1:16" x14ac:dyDescent="0.2">
      <c r="A3">
        <v>4</v>
      </c>
      <c r="B3">
        <v>3</v>
      </c>
      <c r="F3" cm="1">
        <f t="array" ref="F3:P3">TRANSPOSE(A2:A12)</f>
        <v>3</v>
      </c>
      <c r="G3">
        <v>4</v>
      </c>
      <c r="H3">
        <v>2</v>
      </c>
      <c r="I3">
        <v>1</v>
      </c>
      <c r="J3">
        <v>5</v>
      </c>
      <c r="K3">
        <v>6</v>
      </c>
      <c r="L3">
        <v>2</v>
      </c>
      <c r="M3">
        <v>1</v>
      </c>
      <c r="N3">
        <v>1</v>
      </c>
      <c r="O3">
        <v>7</v>
      </c>
      <c r="P3">
        <v>6</v>
      </c>
    </row>
    <row r="4" spans="1:16" x14ac:dyDescent="0.2">
      <c r="A4">
        <v>2</v>
      </c>
      <c r="B4">
        <v>2</v>
      </c>
      <c r="F4" cm="1">
        <f t="array" ref="F4:P4">TRANSPOSE(B2:B12)</f>
        <v>5</v>
      </c>
      <c r="G4">
        <v>3</v>
      </c>
      <c r="H4">
        <v>2</v>
      </c>
      <c r="I4">
        <v>1</v>
      </c>
      <c r="J4">
        <v>7</v>
      </c>
      <c r="K4">
        <v>7</v>
      </c>
      <c r="L4">
        <v>3</v>
      </c>
      <c r="M4">
        <v>2</v>
      </c>
      <c r="N4">
        <v>1</v>
      </c>
      <c r="O4">
        <v>6</v>
      </c>
      <c r="P4">
        <v>6</v>
      </c>
    </row>
    <row r="5" spans="1:16" x14ac:dyDescent="0.2">
      <c r="A5">
        <v>1</v>
      </c>
      <c r="B5">
        <v>1</v>
      </c>
    </row>
    <row r="6" spans="1:16" x14ac:dyDescent="0.2">
      <c r="A6">
        <v>5</v>
      </c>
      <c r="B6">
        <v>7</v>
      </c>
      <c r="F6" cm="1">
        <f t="array" ref="F6:P16">MTRIANGLE(F2,TRUE,TRUE)</f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">
      <c r="A7">
        <v>6</v>
      </c>
      <c r="B7">
        <v>7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">
      <c r="A8">
        <v>2</v>
      </c>
      <c r="B8">
        <v>3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2">
      <c r="A9">
        <v>1</v>
      </c>
      <c r="B9">
        <v>2</v>
      </c>
      <c r="F9">
        <v>1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 x14ac:dyDescent="0.2">
      <c r="A10">
        <v>1</v>
      </c>
      <c r="B10">
        <v>1</v>
      </c>
      <c r="F10">
        <v>1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">
      <c r="A11">
        <v>7</v>
      </c>
      <c r="B11">
        <v>6</v>
      </c>
      <c r="F11">
        <v>1</v>
      </c>
      <c r="G11">
        <v>1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2">
      <c r="A12">
        <v>6</v>
      </c>
      <c r="B12">
        <v>6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"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</row>
    <row r="14" spans="1:16" x14ac:dyDescent="0.2"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0</v>
      </c>
      <c r="O14">
        <v>0</v>
      </c>
      <c r="P14">
        <v>0</v>
      </c>
    </row>
    <row r="15" spans="1:16" x14ac:dyDescent="0.2"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0</v>
      </c>
      <c r="P15">
        <v>0</v>
      </c>
    </row>
    <row r="16" spans="1:16" x14ac:dyDescent="0.2"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0</v>
      </c>
    </row>
    <row r="19" spans="6:16" x14ac:dyDescent="0.2">
      <c r="F19" cm="1">
        <f t="array" ref="F19:P29">STAT.SIGN(A2:A12-_xlfn.ANCHORARRAY(F3))*STAT.SIGN(B2:B12-_xlfn.ANCHORARRAY(F4))*_xlfn.ANCHORARRAY(F6)</f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6:16" x14ac:dyDescent="0.2">
      <c r="F20">
        <v>-1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6:16" x14ac:dyDescent="0.2">
      <c r="F21">
        <v>1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6:16" x14ac:dyDescent="0.2">
      <c r="F22">
        <v>1</v>
      </c>
      <c r="G22">
        <v>1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6:16" x14ac:dyDescent="0.2">
      <c r="F23">
        <v>1</v>
      </c>
      <c r="G23">
        <v>1</v>
      </c>
      <c r="H23">
        <v>1</v>
      </c>
      <c r="I23">
        <v>1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6:16" x14ac:dyDescent="0.2">
      <c r="F24">
        <v>1</v>
      </c>
      <c r="G24">
        <v>1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6:16" x14ac:dyDescent="0.2">
      <c r="F25">
        <v>1</v>
      </c>
      <c r="G25">
        <v>0</v>
      </c>
      <c r="H25">
        <v>0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6:16" x14ac:dyDescent="0.2"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</row>
    <row r="27" spans="6:16" x14ac:dyDescent="0.2">
      <c r="F27">
        <v>1</v>
      </c>
      <c r="G27">
        <v>1</v>
      </c>
      <c r="H27">
        <v>1</v>
      </c>
      <c r="I27">
        <v>0</v>
      </c>
      <c r="J27">
        <v>1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</row>
    <row r="28" spans="6:16" x14ac:dyDescent="0.2">
      <c r="F28">
        <v>1</v>
      </c>
      <c r="G28">
        <v>1</v>
      </c>
      <c r="H28">
        <v>1</v>
      </c>
      <c r="I28">
        <v>1</v>
      </c>
      <c r="J28">
        <v>-1</v>
      </c>
      <c r="K28">
        <v>-1</v>
      </c>
      <c r="L28">
        <v>1</v>
      </c>
      <c r="M28">
        <v>1</v>
      </c>
      <c r="N28">
        <v>1</v>
      </c>
      <c r="O28">
        <v>0</v>
      </c>
      <c r="P28">
        <v>0</v>
      </c>
    </row>
    <row r="29" spans="6:16" x14ac:dyDescent="0.2">
      <c r="F29">
        <v>1</v>
      </c>
      <c r="G29">
        <v>1</v>
      </c>
      <c r="H29">
        <v>1</v>
      </c>
      <c r="I29">
        <v>1</v>
      </c>
      <c r="J29">
        <v>-1</v>
      </c>
      <c r="K29">
        <v>0</v>
      </c>
      <c r="L29">
        <v>1</v>
      </c>
      <c r="M29">
        <v>1</v>
      </c>
      <c r="N29">
        <v>1</v>
      </c>
      <c r="O29">
        <v>0</v>
      </c>
      <c r="P29">
        <v>0</v>
      </c>
    </row>
    <row r="32" spans="6:16" x14ac:dyDescent="0.2">
      <c r="F32" cm="1">
        <f t="array" ref="F32">SUM(1*(_xlfn.ANCHORARRAY(F19) &gt; 0))</f>
        <v>42</v>
      </c>
    </row>
    <row r="33" spans="6:7" x14ac:dyDescent="0.2">
      <c r="F33" cm="1">
        <f t="array" ref="F33">SUM(1*(_xlfn.ANCHORARRAY(F19) &lt; 0))</f>
        <v>4</v>
      </c>
    </row>
    <row r="35" spans="6:7" x14ac:dyDescent="0.2">
      <c r="F35" cm="1">
        <f t="array" ref="F35:F41">_xlfn.UNIQUE(A2:A12)</f>
        <v>3</v>
      </c>
      <c r="G35" cm="1">
        <f t="array" ref="G35:G40">_xlfn.UNIQUE(B2:B12)</f>
        <v>5</v>
      </c>
    </row>
    <row r="36" spans="6:7" x14ac:dyDescent="0.2">
      <c r="F36">
        <v>4</v>
      </c>
      <c r="G36">
        <v>3</v>
      </c>
    </row>
    <row r="37" spans="6:7" x14ac:dyDescent="0.2">
      <c r="F37">
        <v>2</v>
      </c>
      <c r="G37">
        <v>2</v>
      </c>
    </row>
    <row r="38" spans="6:7" x14ac:dyDescent="0.2">
      <c r="F38">
        <v>1</v>
      </c>
      <c r="G38">
        <v>1</v>
      </c>
    </row>
    <row r="39" spans="6:7" x14ac:dyDescent="0.2">
      <c r="F39">
        <v>5</v>
      </c>
      <c r="G39">
        <v>7</v>
      </c>
    </row>
    <row r="40" spans="6:7" x14ac:dyDescent="0.2">
      <c r="F40">
        <v>6</v>
      </c>
      <c r="G40">
        <v>6</v>
      </c>
    </row>
    <row r="41" spans="6:7" x14ac:dyDescent="0.2">
      <c r="F41">
        <v>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cAG4AQwBPAEwAUwBVAE0APQBMAEEATQBCAEQAQQAoAG0AYQB0AHIAaQB4ADsATgBBAEMASABTAFAAQQBMAFQARQAoAG0AYQB0AHIAaQB4ADsAUwBVAE0ATQBFACkAKQA7ADsAXABuAEMATwBSAFIALgBDAFIAQQBNAEUAUgA9AEwAQQBNAEIARABBACgAeABfAGkAOwB5AF8AaQA7AEwARQBUACgAbgBfAGkAOwBTAFQAQQBUAC4AVABBAEIATABFACgAeABfAGkAKQA7AG4AXwBqADsAUwBUAEEAVAAuAFQAQQBCAEwARQAoAHkAXwBpACkAOwBkAGkAdgA7AE0ASQBOACgAQQBOAFoAQQBIAEwAKABuAF8AaQApADsAQQBOAFoAQQBIAEwAKABuAF8AagApACkAOwBuADsAUwBVAE0ATQBFACgAbgBfAGoAKQA7AHgAXwBiAGEAcwBlADsAbgBfAGkAKgBNAFQAUgBBAE4AUwAoAG4AXwBqACkALwBuADsAbgBfAGkAagA7AFMAVABBAFQALgBUAEEAQgBMAEUAKAB4AF8AaQA7AHkAXwBpACkAOwBXAFUAUgBaAEUATAAoACgAUwBVAE0ATQBFACgAKABuAF8AaQBqAC0AeABfAGIAYQBzAGUAKQBeADIALwB4AF8AYgBhAHMAZQApACkALwAoAG4AKgAoAGQAaQB2AC0AMQApACkAKQApACkAOwA7AFwAbgBcAG4AQwBPAFIAUgAuAEsARQBOAEQAQQBMACAAPQAgAEwAQQBNAEIARABBACgAXABuACAAIAAgACAAeABfAGkAOwAgAHkAXwBpADsAXABuACAAIAAgACAATABFAFQAKABcAG4AIAAgACAAIAAgACAAIAAgAHMAXwBuADsAIABBAE4AWgBBAEgATAAoAHgAXwBpACkAOwBcAG4AIAAgACAAIAAgACAAIAAgAHgAXwBqADsAIABNAFQAUgBBAE4AUwAoAHgAXwBpACkAOwBcAG4AIAAgACAAIAAgACAAIAAgAHkAXwBqADsAIABNAFQAUgBBAE4AUwAoAHkAXwBpACkAOwBcAG4AIAAgACAAIAAgACAAIAAgAHQAcgBpAGEAbgBnAGwAZQA7ACAATQBUAFIASQBBAE4ARwBMAEUAKABzAF8AbgA7ACAAVwBBAEgAUgA7ACAAVwBBAEgAUgApADsAXABuACAAIAAgACAAIAAgACAAIAB0AHIAXwBzAGkAZwBuADsAIABTAFQAQQBUAC4AUwBJAEcATgAoAHgAXwBpACAALQAgAHgAXwBqACkAIAAqACAAUwBUAEEAVAAuAFMASQBHAE4AKAB5AF8AaQAgAC0AIAB5AF8AagApACAAKgAgAHQAcgBpAGEAbgBnAGwAZQA7AFwAbgAgACAAIAAgACAAIAAgACAAbgBfAGMAOwAgAFMAVQBNAE0ARQAoADEAIAAqACAAKAB0AHIAXwBzAGkAZwBuACAAPgAgADAAKQApADsAXABuACAAIAAgACAAIAAgACAAIABuAF8AZAA7ACAAUwBVAE0ATQBFACgAMQAgACoAIAAoAHQAcgBfAHMAaQBnAG4AIAA8ACAAMAApACkAOwBcAG4AIAAgACAAIAAgACAAIAAgAG0AXwBrADsAIABNAEkATgAoAEUASQBOAEQARQBVAFQASQBHACgAeABfAGkAKQA7ACAARQBJAE4ARABFAFUAVABJAEcAKAB5AF8AaQApACkAOwBcAG4AIAAgACAAIAAgACAAIAAgAFcARQBOAE4AKABcAG4AIAAgACAAIAAgACAAIAAgACAAIAAgACAAcwBfAG4AIAA9ACAAQQBOAFoAQQBIAEwAKAB5AF8AaQApADsAIABcAG4AIAAgACAAIAAgACAAIAAgACAAIAAgACAAKABuAF8AYwAgAC0AIABuAF8AZAApACAAKgAgADIAIAAvACAAKABzAF8AbgAgAF4AIAAyACAAKgAgACgAKABtAF8AawAgAC0AIAAxACkALwBtAF8AawApACkAOwAgAFwAbgAgACAAIAAgACAAIAAgACAAIAAgACAAIAAjAFcARQBSAFQAIQBcAG4AIAAgACAAIAAgACAAIAAgACkAXABuACAAIAAgACAAKQBcAG4AKQA7ADsAXABuAFwAbgBDAE8AUgBSAC4AUABFAEEAUgBTAE8ATgA9AEwAQQBNAEIARABBACgAeABfAGkAOwB5AF8AaQA7AEsATwBSAFIARQBMACgAeABfAGkAOwB5AF8AaQApACkAOwA7AFwAbgBDAE8AUgBSAC4AUwBQAEUAQQBSAE0AQQBOAD0ATABBAE0AQgBEAEEAKABsAGUAZgB0ADsAcgBpAGcAaAB0ADsASwBPAFIAUgBFAEwAKABSAEEATgBHAC4ATQBJAFQAVABFAEwAVwAoAGwAZQBmAHQAOwBsAGUAZgB0ACkAOwBSAEEATgBHAC4ATQBJAFQAVABFAEwAVwAoAHIAaQBnAGgAdAA7AHIAaQBnAGgAdAApACkAKQA7ADsAXABuAEMAVQBNAFMAVQBNAD0ATABBAE0AQgBEAEEAKAB2AGUAYwB0AG8AcgA7AFMAQwBBAE4AKAAwADsAdgBlAGMAdABvAHIAOwBMAEEATQBCAEQAQQAoAGEAYwBjAHUAOwB2AGEAbAB1AGUAOwBhAGMAYwB1ACsAdgBhAGwAdQBlACkAKQApADsAOwBcAG4ARABVAE0ATQBZAC4AQwBPAEQASQBOAEcAPQBMAEEATQBCAEQAQQAoAHYAYQByAGkAYQBiAGwAZQA7AFsAaABlAGEAZABlAHIAXQA7AEwARQBUACgAdgBhAHIAaQBhAGIAbABlADsARgBJAEwAVABFAFIAKAB2AGEAcgBpAGEAYgBsAGUAOwBOAEkAQwBIAFQAKABJAFMAVABGAEUASABMAEUAUgAoAHYAYQByAGkAYQBiAGwAZQApACkAKQA7AGsAXwBuAGEAbQBlAHMAOwBNAFQAUgBBAE4AUwAoAEUASQBOAEQARQBVAFQASQBHACgAdgBhAHIAaQBhAGIAbABlACkAKQA7AGsAXwByAGUAZgA7AFMAUABBAEwAVABFAE4AVwBBAEgATAAoAGsAXwBuAGEAbQBlAHMAOwBTAEUAUQBVAEUATgBaACgAMQA7AEEATgBaAEEASABMADIAKABrAF8AbgBhAG0AZQBzACkALQAxACkAKQA7AGMAbwBkAGUAcwA7ADEAKgAoAHYAYQByAGkAYQBiAGwAZQA9AGsAXwByAGUAZgApADsAdwBlAG4AbgAoAE8ARABFAFIAKABXAFUAUgBEAEUAQQBVAFMARwBFAEwAQQBTAFMARQBOACgAaABlAGEAZABlAHIAKQA7AG4AaQBjAGgAdAAoAGgAZQBhAGQAZQByACkAKQA7AGMAbwBkAGUAcwA7AHYAcwB0AGEAcABlAGwAbgAoAGsAXwByAGUAZgA7AGMAbwBkAGUAcwApACkAKQApADsAOwBcAG4ARwBSAE8AVQBQAC4AQwBPAFUATgBUAD0ATABBAE0AQgBEAEEAKABnAHIAbwB1AHAAcwA7AFMAUABBAEwAVABFAE4AVwBBAEgATAAoAEcAUgBVAFAAUABJAEUAUgBFAE4ATgBBAEMASAAoAGcAcgBvAHUAcABzADsAdgBhAGwAdQBlAHMAOwBBAE4AWgBBAEgATAAyADsAOwAwACkAOwAyACkAKQA7ADsAXABuAEcAUgBPAFUAUAAuAEkAUQBSAD0ATABBAE0AQgBEAEEAKAB2AGEAbAB1AGUAcwA7AGcAcgBvAHUAcABzADsAUwBQAEEATABUAEUATgBXAEEASABMACgARwBSAFUAUABQAEkARQBSAEUATgBOAEEAQwBIACgAZwByAG8AdQBwAHMAOwB2AGEAbAB1AGUAcwA7AFMAVABBAFQALgBJAFEAUgA7ADsAMAApADsAMgApACkAOwA7AFwAbgBHAFIATwBVAFAALgBNAEEARAA9AEwAQQBNAEIARABBACgAdgBhAGwAdQBlAHMAOwBnAHIAbwB1AHAAcwA7AFMAUABBAEwAVABFAE4AVwBBAEgATAAoAEcAUgBVAFAAUABJAEUAUgBFAE4ATgBBAEMASAAoAGcAcgBvAHUAcABzADsAdgBhAGwAdQBlAHMAOwBTAFQAQQBUAC4ATQBBAEQAOwA7ADAAKQA7ADIAKQApADsAOwBcAG4ARwBSAE8AVQBQAC4ATQBBAFgAPQBMAEEATQBCAEQAQQAoAHYAYQBsAHUAZQBzADsAZwByAG8AdQBwAHMAOwBTAFAAQQBMAFQARQBOAFcAQQBIAEwAKABHAFIAVQBQAFAASQBFAFIARQBOAE4AQQBDAEgAKABnAHIAbwB1AHAAcwA7AHYAYQBsAHUAZQBzADsATQBBAFgAOwA7ADAAKQA7ADIAKQApADsAOwBcAG4ARwBSAE8AVQBQAC4ATQBFAEEATgA9AEwAQQBNAEIARABBACgAdgBhAGwAdQBlAHMAOwBnAHIAbwB1AHAAcwA7AFMAUABBAEwAVABFAE4AVwBBAEgATAAoAEcAUgBVAFAAUABJAEUAUgBFAE4ATgBBAEMASAAoAGcAcgBvAHUAcABzADsAdgBhAGwAdQBlAHMAOwBNAEkAVABUAEUATABXAEUAUgBUADsAOwAwACkAOwAyACkAKQA7ADsAXABuAEcAUgBPAFUAUAAuAE0ARQBEAEkAQQBOAD0ATABBAE0AQgBEAEEAKAB2AGEAbAB1AGUAcwA7AGcAcgBvAHUAcABzADsAUwBQAEEATABUAEUATgBXAEEASABMACgARwBSAFUAUABQAEkARQBSAEUATgBOAEEAQwBIACgAZwByAG8AdQBwAHMAOwB2AGEAbAB1AGUAcwA7AE0ARQBEAEkAQQBOADsAOwAwACkAOwAyACkAKQA7ADsAXABuAEcAUgBPAFUAUAAuAE0ASQBOAD0ATABBAE0AQgBEAEEAKAB2AGEAbAB1AGUAcwA7AGcAcgBvAHUAcABzADsAUwBQAEEATABUAEUATgBXAEEASABMACgARwBSAFUAUABQAEkARQBSAEUATgBOAEEAQwBIACgAZwByAG8AdQBwAHMAOwB2AGEAbAB1AGUAcwA7AE0ASQBOADsAOwAwACkAOwAyACkAKQA7ADsAXABuAEcAUgBPAFUAUAAuAFMARAA9AEwAQQBNAEIARABBACgAdgBhAGwAdQBlAHMAOwBnAHIAbwB1AHAAcwA7AFMAUABBAEwAVABFAE4AVwBBAEgATAAoAEcAUgBVAFAAUABJAEUAUgBFAE4ATgBBAEMASAAoAGcAcgBvAHUAcABzADsAdgBhAGwAdQBlAHMAOwBTAFQAQQBCAFcALgBTADsAOwAwACkAOwAyACkAKQA7ADsAXABuAEcAUgBPAFUAUAAuAFMAVQBNAD0ATABBAE0AQgBEAEEAKAB2AGEAbAB1AGUAcwA7AGcAcgBvAHUAcABzADsAUwBQAEEATABUAEUATgBXAEEASABMACgARwBSAFUAUABQAEkARQBSAEUATgBOAEEAQwBIACgAZwByAG8AdQBwAHMAOwB2AGEAbAB1AGUAcwA7AFMAVQBNAE0ARQA7ADsAMAApADsAMgApACkAOwA7AFwAbgBIAFIARQBQAEUAQQBUAD0ATABBAE0AQgBEAEEAKAB2AGEAbAB1AGUAOwBuAF8AdABpAG0AZQBzADsAVwBFAE4ATgAoAFUATgBEACgAQQBOAFoAQQBIAEwAMgAoAHYAYQBsAHUAZQApAD0AMQA7AEEATgBaAEEASABMACgAbgBfAHQAaQBtAGUAcwApAD0AMQA7AG4AXwB0AGkAbQBlAHMAPgAwACkAOwBXAEUATgBOACgASQBTAFQAWgBBAEgATAAoAHYAYQBsAHUAZQApACsASQBTAFQATABPAEcAKAB2AGEAbAB1AGUAKQA7AFMARQBRAFUARQBOAFoAKAAxADsAbgBfAHQAaQBtAGUAcwA7AHYAYQBsAHUAZQA7ADAAKQA7AFcARQBOAE4AKABTAEUAUQBVAEUATgBaACgAMQA7AG4AXwB0AGkAbQBlAHMAKQA7AHYAYQBsAHUAZQApACkAOwAjAFcARQBSAFQAIQApACkAOwA7AFwAbgBJAFMALgBBAEwATAAuAEUAUQBVAEEATAA9AEwAQQBNAEIARABBACgAdgBlAGMAdABvAHIAOwBVAE4ARAAoAHYAZQBjAHQAbwByAD0AaQBuAGQAZQB4ACgAdgBlAGMAdABvAHIAOwAxADsAMQApACkAKQA7ADsAXABuAEkAUwAuAFYARQBDAFQATwBSAD0ATABBAE0AQgBEAEEAKAB2AGUAYwB0AG8AcgA7AFcARQBOAE4ARgBFAEgATABFAFIAKABJAFMALgBBAEwATAAuAEUAUQBVAEEATAAoAE0AQQBQACgAUgBFAE0ATwBWAEUALgBJAE4AVgBBAEwASQBEACgAdgBlAGMAdABvAHIAKQA7AFQAWQBQACkAKQA7AEYAQQBMAFMAQwBIACkAKQA7ADsAXABuAE0ARABJAE0APQBMAEEATQBCAEQAQQAoAG0AYQB0AHIAaQB4ADsASABTAFQAQQBQAEUATABOACgAWgBFAEkATABFAE4AKABtAGEAdAByAGkAeAApADsAUwBQAEEATABUAEUATgAoAG0AYQB0AHIAaQB4ACkAKQApADsAOwBcAG4ATQBUAFIAQQBDAEUAPQBMAEEATQBCAEQAQQAoAG0AYQB0AHIAaQB4ADsAVwBFAE4ATgAoAFoARQBJAEwARQBOACgAbQBhAHQAcgBpAHgAKQA9AFMAUABBAEwAVABFAE4AKABtAGEAdAByAGkAeAApADsATABFAFQAKABpAG4AZABlAHgAOwBTAEUAUQBVAEUATgBaACgAWgBFAEkATABFAE4AKABtAGEAdAByAGkAeAApACkAOwBTAFUATQBNAEUAKABJAE4ARABFAFgAKABtAGEAdAByAGkAeAA7AGkAbgBkAGUAeAA7AGkAbgBkAGUAeAApACkAKQA7ACMAVwBFAFIAVAAhACkAKQA7ADsAXABuAE0AVABSAEkAQQBOAEcATABFAD0ATABBAE0AQgBEAEEAKABzAGkAegBlADsAWwBwAF8AbABvAHcAZQByAF0AOwBbAHAAXwBzAHQAcgBpAGMAdABdADsATABFAFQAKABiAF8AbABvAHcAZQByADsAVwBFAE4ATgAoAFcAVQBSAEQARQBBAFUAUwBHAEUATABBAFMAUwBFAE4AKABwAF8AbABvAHcAZQByACkAOwBXAEEASABSADsAcABfAGwAbwB3AGUAcgApADsAYgBfAHMAdAByAGkAYwB0ADsAVwBFAE4ATgAoAFcAVQBSAEQARQBBAFUAUwBHAEUATABBAFMAUwBFAE4AKABwAF8AcwB0AHIAaQBjAHQAKQA7AEYAQQBMAFMAQwBIADsAcABfAHMAdAByAGkAYwB0ACkAOwBXAEUATgBOACgAVQBOAEQAKABBAE4AWgBBAEgATAAoAHMAaQB6AGUAKQA9ADEAOwBBAE4AWgBBAEgATAAyACgAYgBfAGwAbwB3AGUAcgApAD0AMQA7AEEATgBaAEEASABMADIAKABiAF8AcwB0AHIAaQBjAHQAKQA9ADEAKQA7AEwARQBUACgAdgBlAGMAdABvAHIAOwBTAEUAUQBVAEUATgBaACgAcwBpAHoAZQApADsAdAB2AGUAYwB0AG8AcgA7AE0AVABSAEEATgBTACgAdgBlAGMAdABvAHIAKQA7ADEAKgBXAEUATgBOAFMAKABVAE4ARAAoAGIAXwBsAG8AdwBlAHIAOwBiAF8AcwB0AHIAaQBjAHQAKQA7AHYAZQBjAHQAbwByAD4AdAB2AGUAYwB0AG8AcgA7AGIAXwBsAG8AdwBlAHIAOwB2AGUAYwB0AG8AcgA+AD0AdAB2AGUAYwB0AG8AcgA7AGIAXwBzAHQAcgBpAGMAdAA7AHYAZQBjAHQAbwByADwAdAB2AGUAYwB0AG8AcgA7AFcAQQBIAFIAOwB2AGUAYwB0AG8AcgA8AD0AdAB2AGUAYwB0AG8AcgApACkAOwAjAFcARQBSAFQAIQApACkAKQA7ADsAXABuAFAAUQAuAFIARQBOAEEATQBFAC4ASABFAEwAUABFAFIAPQBMAEEATQBCAEQAQQAoAG4AYQBtAGUAcwA7AGwAYQBiAGUAbABzADsAVABFAFgAVABWAEUAUgBLAEUAVABUAEUATgAoAFwAIgAsAFwAIgA7ADsATgBBAEMASABaAEUASQBMAEUAKABNAEEAUAAoAEgAUwBUAEEAUABFAEwATgAoAGwAYQBiAGUAbABzADsAbgBhAG0AZQBzACkAOwBMAEEATQBCAEQAQQAoAHMAdAByAGkAbgBnADsAXAAiAFwAIgBcACIAXAAiACYAcwB0AHIAaQBuAGcAJgBcACIAXAAiAFwAIgBcACIAKQApADsATABBAE0AQgBEAEEAKAByAG8AdwA7AFwAIgB7AFwAIgAmAFQARQBYAFQAVgBFAFIASwBFAFQAVABFAE4AKABcACIALABcACIAOwA7AHIAbwB3ACkAJgBcACIAfQBcACIAKQApACkAKQA7ADsAXABuAFAAUgBFAFAALgBBAEwAVABFAFIATgBBAFQASQBWAEUAPQBMAEEATQBCAEQAQQAoAGEAbAB0ADsAWABWAEUAUgBXAEUASQBTACgATABJAE4ASwBTACgASwBMAEUASQBOACgAYQBsAHQAKQA7ADEAKQA7AHsAXAAiAHQAXAAiADsAXAAiAGcAXAAiADsAXAAiAGwAXAAiADsAXAAiAHIAXAAiADsAXAAiAGsAXAAiADsAXAAiAHUAXAAiADsAXAAiAGIAXAAiAH0AOwB7AFwAIgB0AFwAIgA7AFwAIgBnAFwAIgA7AFwAIgBsAFwAIgA7AFwAIgBnAFwAIgA7AFwAIgBsAFwAIgA7AFwAIgB0AFwAIgA7AFwAIgB0AFwAIgB9ADsAIwBXAEUAUgBUACEAKQApADsAOwBcAG4AUQBVAEkAQwBLAC4AQwBPAEQARQA9AEwAQQBNAEIARABBACgAdgBhAHIAaQBhAGIAbABlADsAbwByAGQAZQByADsAWABWAEUAUgBHAEwARQBJAEMASAAoAHYAYQByAGkAYQBiAGwAZQA7AG8AcgBkAGUAcgApACkAOwA7AFwAbgBSAEEATgBEAE8ATQAuAE4ATwBSAE0APQBMAEEATQBCAEQAQQAoAHAAXwBuADsAWwBtAGUAYQBuAF0AOwBbAHMAZABlAHYAXQA7AEwARQBUACgAbQBlAGEAbgA7AFcARQBOAE4AKABXAFUAUgBEAEUAQQBVAFMARwBFAEwAQQBTAFMARQBOACgAbQBlAGEAbgApADsAMAA7AG0AZQBhAG4AKQA7AHMAZABlAHYAOwBXAEUATgBOACgAVwBVAFIARABFAEEAVQBTAEcARQBMAEEAUwBTAEUATgAoAHMAZABlAHYAKQA7ADEAOwBzAGQAZQB2ACkAOwBXAFUAUgBaAEUATAAoAC0AMgAqAEwATgAoAFoAVQBGAEEATABMAFMATQBBAFQAUgBJAFgAKABwAF8AbgApACkAKQArAEMATwBTACgAMgAqAFAASQAoACkAKgBaAFUARgBBAEwATABTAE0AQQBUAFIASQBYACgAcABfAG4AKQApACoAcwBkAGUAdgArAG0AZQBhAG4AKQApADsAOwBcAG4AUgBFAEcAUgBFAFMAUwBJAE8ATgAuAFIARQBTAEkARABVAEEATABTAD0ATABBAE0AQgBEAEEAKABBAF8AVgBBAFIAOwBVAEEAXwBWAEEAUgA7AEsATwBFAEYAOwBMAEUAVAAoAEsATwBFAEYATQBBAFQAOwBIAFMAVABBAFAARQBMAE4AKABTAEUAUQBVAEUATgBaACgAWgBFAEkATABFAE4AKABBAF8AVgBBAFIAKQA7ADEAOwAxADsAMAApADsAVQBBAF8AVgBBAFIAKQA7AEUAUwBUAEkATQBBAFQARQBTADsATQBNAFUATABUACgASwBPAEUARgBNAEEAVAA7AEsATwBFAEYAKQA7AEUAUwBUAEkATQBBAFQARQBTAC0AQQBfAFYAQQBSACkAKQA7ADsAXABuAFIARQBHAFIARQBTAFMASQBPAE4APQBMAEEATQBCAEQAQQAoAEEAXwBWAEEAUgA7AFUAQQBfAFYAQQBSADsATABFAFQAKABLAE8ARQBGAE0AQQBUADsASABTAFQAQQBQAEUATABOACgAUwBFAFEAVQBFAE4AWgAoAFoARQBJAEwARQBOACgAQQBfAFYAQQBSACkAOwAxADsAMQA7ADAAKQA7AFUAQQBfAFYAQQBSACkAOwBSAEUARABEAEkATQA7AE0ATQBVAEwAVAAoAE0AVABSAEEATgBTACgASwBPAEUARgBNAEEAVAApADsASwBPAEUARgBNAEEAVAApADsATQBNAFUATABUACgATQBNAFUATABUACgATQBJAE4AVgAoAFIARQBEAEQASQBNACkAOwBNAFQAUgBBAE4AUwAoAEsATwBFAEYATQBBAFQAKQApADsAQQBfAFYAQQBSACkAKQApADsAOwBcAG4AUgBFAE0ATwBWAEUALgBJAE4AVgBBAEwASQBEAD0ATABBAE0AQgBEAEEAKAB2AGUAYwB0AG8AcgBzADsATABFAFQAKABpAG4AdgBhAGwAaQBkADsAVwBFAE4ATgBGAEUASABMAEUAUgAoAE4AQQBDAEgAWgBFAEkATABFACgAdgBlAGMAdABvAHIAcwA7AEwAQQBNAEIARABBACgAegBlAGkAbABlADsAVQBOAEQAKAB6AGUAaQBsAGUAKQApACkAOwBGAEEATABTAEMASAApADsARgBJAEwAVABFAFIAKAB2AGUAYwB0AG8AcgBzADsAaQBuAHYAYQBsAGkAZAApACkAKQA7ADsAXABuAFIATwBXAFMAVQBNAD0ATABBAE0AQgBEAEEAKABtAGEAdAByAGkAeAA7AE4AQQBDAEgAWgBFAEkATABFACgAbQBhAHQAcgBpAHgAOwBTAFUATQBNAEUAKQApADsAOwBcAG4AUwBDAEgARQBNAEEALgBDAEgATwBPAFMARQA9AEwAQQBNAEIARABBACgAZABhAHQAYQA7AHQAeQBwAGUAcwA7AFsAdAB5AHAAZQBdADsATABFAFQAKAB0AHkAcABlADsAVwBFAE4ATgAoAFcAVQBSAEQARQBBAFUAUwBHAEUATABBAFMAUwBFAE4AKAB0AHkAcABlACkAOwBcACIAbQBcACIAOwBMAEkATgBLAFMAKABLAEwARQBJAE4AKAB0AHkAcABlACkAOwAxACkAKQA7AHQAeQBwAGUAcwA7AEwASQBOAEsAUwAoAEsATABFAEkATgAoAHQAeQBwAGUAcwApADsAMQApADsAVwBFAE4ATgAoAFMAUABBAEwAVABFAE4AKABkAGEAdABhACkAPQAxADsATQBUAFIAQQBOAFMAKABGAEkATABUAEUAUgAoAGQAYQB0AGEAOwB0AHkAcABlAD0AdAB5AHAAZQBzACkAKQA7AFMAUABBAEwAVABFAE4AVwBBAEgATAAoAGQAYQB0AGEAOwBGAEkATABUAEUAUgAoAFMARQBRAFUARQBOAFoAKABBAE4AWgBBAEgATAAyACgAdAB5AHAAZQBzACkAKQA7AHQAeQBwAGUAPQB0AHkAcABlAHMAKQApACkAKQApADsAOwBcAG4AUwBFAFEAVQBFAE4AQwBFAC4AUgBBAE4ARwBFAD0ATABBAE0AQgBEAEEAKABhAF8AdgA7AFsAYgBfAG8AcgBfAHMAdABlAHAAXQA7AFsAcwB0AGUAcABdADsATABFAFQAKABhAF8AdgBzADsAWgBVAFMAUABBAEwAVABFACgAYQBfAHYAKQA7AG4AXwBhADsAQQBOAFoAQQBIAEwAKABhAF8AdgBzACkAOwBiAF8AdgA7AHcAZQBuAG4AKABVAE4ARAAoAG4AXwBhAD0AMgA7AFcAVQBSAEQARQBBAFUAUwBHAEUATABBAFMAUwBFAE4AKABiAF8AbwByAF8AcwB0AGUAcAApADsAVwBVAFIARABFAEEAVQBTAEcARQBMAEEAUwBTAEUATgAoAHMAdABlAHAAKQApADsASQBOAEQARQBYACgAYQBfAHYAcwA7ADIAOwAxACkAOwBiAF8AbwByAF8AcwB0AGUAcAApADsAcwB0AGUAcAA7AFcARQBOAE4AUwAoAFUATgBEACgAVwBVAFIARABFAEEAVQBTAEcARQBMAEEAUwBTAEUATgAoAGIAXwBvAHIAXwBzAHQAZQBwACkAOwBXAFUAUgBEAEUAQQBVAFMARwBFAEwAQQBTAFMARQBOACgAcwB0AGUAcAApACkAOwAxADsAVQBOAEQAKABuAF8AYQA9ADIAOwBXAFUAUgBEAEUAQQBVAFMARwBFAEwAQQBTAFMARQBOACgAcwB0AGUAcAApACkAOwBiAF8AbwByAF8AcwB0AGUAcAA7AFcAVQBSAEQARQBBAFUAUwBHAEUATABBAFMAUwBFAE4AKABzAHQAZQBwACkAOwAxADsAVwBBAEgAUgA7AHMAdABlAHAAKQA7AGEAXwB2ADsASQBOAEQARQBYACgAYQBfAHYAcwA7ADEAOwAxACkAOwBzAF8AZABlAGwAdABhADsARwBBAE4AWgBaAEEASABMACgAYgBfAHYALQBhAF8AdgApACsAMQA7AFMARQBRAFUARQBOAFoAKABzAF8AZABlAGwAdABhADsAMQA7AGEAXwB2ADsAcwB0AGUAcAApACkAKQA7ADsAXABuAFMAVABBAFQALgBDAE8AUgBSAEUAQwBUAC4AUABWAEEATABVAEUAPQBMAEEATQBCAEQAQQAoAHAAXwB2AGEAbAB1AGUAOwBbAGEAbAB0AGUAcgBuAGEAdABpAHYAZQBdADsATABFAFQAKABhAGwAdAA7AFcARQBOAE4AKABXAFUAUgBEAEUAQQBVAFMARwBFAEwAQQBTAFMARQBOACgAYQBsAHQAZQByAG4AYQB0AGkAdgBlACkAOwBcACIAdABcACIAOwBhAGwAdABlAHIAbgBhAHQAaQB2AGUAKQA7AFcARQBOAE4ARgBFAEgATABFAFIAKABFAFIAUwBUAEUAUgBXAEUAUgBUACgAYQBsAHQAOwBcACIAbABcACIAOwBwAF8AdgBhAGwAdQBlADsAXAAiAGcAXAAiADsAMQAtAHAAXwB2AGEAbAB1AGUAOwBcACIAdABcACIAOwAyACoATQBJAE4AKABwAF8AdgBhAGwAdQBlADsAMQAtAHAAXwB2AGEAbAB1AGUAKQA7ACkAOwAjAFcARQBSAFQAIQApACkAKQA7ADsAXABuAFMAVABBAFQALgBEAEUAUwBDAFIASQBCAEUALgBMAEEAQgBFAEwAUwA9AEwAQQBNAEIARABBACgAWwB0AHkAcABlAF0AOwBMAEUAVAAoAHQAeQBwAGUAOwBXAEUATgBOACgAVwBVAFIARABFAEEAVQBTAEcARQBMAEEAUwBTAEUATgAoAHQAeQBwAGUAKQA7AFwAIgBtAFwAIgA7AEwASQBOAEsAUwAoAEsATABFAEkATgAoAHQAeQBwAGUAKQA7ADEAKQApADsAbABhAGIAZQBsAHMAXwBiAGEAcwBlADsAbQB0AHIAYQBuAHMAKAB7AFwAIgBpAGQAXAAiADsAXAAiAG4AXAAiAH0AKQA7AGwAYQBiAGUAbABzAF8AbQA7AG0AdAByAGEAbgBzACgAewBcACIAbQBlAGEAbgBcACIAOwBcACIAcwB0AGQAZABlAHYAXAAiADsAXAAiAHMAdABkAGUAcgByAFwAIgB9ACkAOwBsAGEAYgBlAGwAcwBfAG8AOwBtAHQAcgBhAG4AcwAoAHsAXAAiAG0AaQBuAFwAIgA7AFwAIgBtAGUAZABpAGEAbgBcACIAOwBcACIAbQBhAHgAXAAiADsAXAAiAEkAUQBSAFwAIgA7AFwAIgBtAGEAZABcACIAfQApADsAVwBFAE4ATgAoAHQAeQBwAGUAPQBcACIAbwBcACIAOwBIAFMAVABBAFAARQBMAE4AKABsAGEAYgBlAGwAcwBfAGIAYQBzAGUAOwBsAGEAYgBlAGwAcwBfAG8AKQA7AEgAUwBUAEEAUABFAEwATgAoAGwAYQBiAGUAbABzAF8AYgBhAHMAZQA7AGwAYQBiAGUAbABzAF8AbQA7AGwAYQBiAGUAbABzAF8AbwApACkAKQApADsAOwBcAG4AUwBUAEEAVAAuAEQARQBTAEMAUgBJAEIARQA9AEwAQQBNAEIARABBACgAZABhAHQAYQA7AFsAdAB5AHAAZQBdADsAWwBuAGEAbQBlAHMAXQA7AEwARQBUACgAdAB5AHAAZQA7AFcARQBOAE4AKABXAFUAUgBEAEUAQQBVAFMARwBFAEwAQQBTAFMARQBOACgAdAB5AHAAZQApADsAXAAiAG0AXAAiADsAbABpAG4AawBzACgASwBMAEUASQBOACgAdAB5AHAAZQApADsAMQApACkAOwBjAG8AbABpAGQAcwA7AHMAZQBxAHUAZQBuAHoAKABzAHAAYQBsAHQAZQBuACgAZABhAHQAYQApACkAOwB2AGEAbABzADsAegBlAGkAbABlAG4AdwBhAGgAbAAoAFIARQBEAFUAQwBFACgAcwBlAHEAdQBlAG4AegAoADEAOwBXAEUATgBOACgAdAB5AHAAZQA9AFwAIgBvAFwAIgA7ADUAOwA4ACkAKQA7AGMAbwBsAGkAZABzADsATABBAE0AQgBEAEEAKABsAGkAbgBlAHMAOwBjAG8AbABpAGQAOwBMAEUAVAAoAHIAYQB3AF8AdgBhAGwAdQBlAHMAOwBzAHAAYQBsAHQAZQBuAHcAYQBoAGwAKABkAGEAdABhADsAYwBvAGwAaQBkACkAOwB2AGEAbAB1AGUAcwA7AGYAaQBsAHQAZQByACgAcgBhAHcAXwB2AGEAbAB1AGUAcwA7AGkAcwB0AHoAYQBoAGwAKAByAGEAdwBfAHYAYQBsAHUAZQBzACkAKQA7AGMAbgB0AF8AdgBhAGwAdQBlAHMAOwBBAE4AWgBBAEgATAAoAHYAYQBsAHUAZQBzACkAOwBiAGEAcwBpAGMAXwBzAHQAYQB0AHMAOwBIAFMAVABBAFAARQBMAE4AKABNAEkATgAoAHYAYQBsAHUAZQBzACkAOwBNAEUARABJAEEATgAoAHYAYQBsAHUAZQBzACkAOwBNAEEAWAAoAHYAYQBsAHUAZQBzACkAOwBTAFQAQQBUAC4ASQBRAFIAKAB2AGEAbAB1AGUAcwApADsAUwBUAEEAVAAuAE0AQQBEACgAdgBhAGwAdQBlAHMAKQApADsAcwBkAGUAdgA7AFMAVABBAEIAVwAuAFMAKAB2AGEAbAB1AGUAcwApADsAdgBzAHQAYQBwAGUAbABuACgAbABpAG4AZQBzADsAdwBlAG4AbgAoAHQAeQBwAGUAPQBcACIAbwBcACIAOwBIAFMAVABBAFAARQBMAE4AKABjAG4AdABfAHYAYQBsAHUAZQBzADsAYgBhAHMAaQBjAF8AcwB0AGEAdABzACkAOwBIAFMAVABBAFAARQBMAE4AKABjAG4AdABfAHYAYQBsAHUAZQBzADsATQBJAFQAVABFAEwAVwBFAFIAVAAoAHYAYQBsAHUAZQBzACkAOwBzAGQAZQB2ADsAcwBkAGUAdgAvAFcAVQBSAFoARQBMACgAYwBuAHQAXwB2AGEAbAB1AGUAcwApADsAYgBhAHMAaQBjAF8AcwB0AGEAdABzACkAKQApACkAKQApADsAYwBvAGwAaQBkAHMAKwAxACkAOwBXAEUATgBOACgAVwBVAFIARABFAEEAVQBTAEcARQBMAEEAUwBTAEUATgAoAG4AYQBtAGUAcwApADsASABTAFQAQQBQAEUATABOACgAYwBvAGwAaQBkAHMAOwB2AGEAbABzACkAOwBIAFMAVABBAFAARQBMAE4AKABtAHQAcgBhAG4AcwAoAG4AYQBtAGUAcwApADsAdgBhAGwAcwApACkAKQApADsAOwBcAG4AUwBUAEEAVAAuAEkAUQBSAD0ATABBAE0AQgBEAEEAKAB2AGUAYwB0AG8AcgBfAG8AcgBfAG0AYQB0AHIAaQB4ADsAUwBVAE0ATQBFACgAUQBVAEEAUgBUAEkATABFAC4ASQBOAEsATAAoAHYAZQBjAHQAbwByAF8AbwByAF8AbQBhAHQAcgBpAHgAOwB7ADMAOwAxAH0AKQAqAHsAMQA7AC0AMQB9ACkAKQA7ADsAXABuAFMAVABBAFQALgBNAEEARAA9AEwAQQBNAEIARABBACgAdgBlAGMAdABvAHIAXwBvAHIAXwBtAGEAdAByAGkAeAA7AE0ARQBEAEkAQQBOACgAQQBCAFMAKAB2AGUAYwB0AG8AcgBfAG8AcgBfAG0AYQB0AHIAaQB4AC0ATQBFAEQASQBBAE4AKAB2AGUAYwB0AG8AcgBfAG8AcgBfAG0AYQB0AHIAaQB4ACkAKQApACkAOwA7AFwAbgBTAFQAQQBUAC4AUABPAE8ATABFAEQALgBWAEEAUgBJAEEATgBDAEUAPQBMAEEATQBCAEQAQQAoAHYAYQBsAHUAZQBzADsAZwByAG8AdQBwAHMAOwBMAEUAVAAoAG4AXwBpADsAUwBUAEEAVAAuAFQAQQBCAEwARQAoAGcAcgBvAHUAcABzACkALQAxADsAcwB1AG0AXwBuADsAUwBVAE0ATQBFACgAbgBfAGkAKQA7AHMAXwBpADsARwBSAE8AVQBQAC4AUwBEACgAdgBhAGwAdQBlAHMAOwBnAHIAbwB1AHAAcwApAF4AMgA7AFMAVQBNAE0ARQBOAFAAUgBPAEQAVQBLAFQAKABuAF8AaQA7AHMAXwBpACkALwBzAHUAbQBfAG4AKQApADsAOwBcAG4AUAAuAEEARABKAC4AQgBPAE4ARgBFAFIAUgBPAE4ASQA9AEwAQQBNAEIARABBACgAcABfAHYAOwBtAF8AdgA7AHAAXwB2ACoAbQBfAHYAKQA7ADsAUAAuAEEARABKAC4ASABPAEwATQA9AEwAQQBNAEIARABBACgAcABfAHYAOwBtAF8AdgA7AEwARQBUACgAcABfAHMAOwBTAE8AUgBUAEkARQBSAEUATgAoAHAAXwB2ACkAOwBpAGQAXwB2ADsAUwBFAFEAVQBFAE4AWgAoAEEATgBaAEEASABMACgAcABfAHYAKQApADsAaQBkAF8AcwA7AFMATwBSAFQASQBFAFIARQBOAE4AQQBDAEgAKABpAGQAXwB2ADsAcABfAHYAKQA7AHAAXwBzAHQAYQByADsAcABfAHMAKgAoAG0AXwB2ACsAMQAtAGkAZABfAHYAKQA7AFMATwBSAFQASQBFAFIARQBOAE4AQQBDAEgAKABwAF8AcwB0AGEAcgA7AGkAZABfAHMAKQApACkAOwA7AFAALgBBAEQASgAuAFMASQBEAEEASwA9AEwAQQBNAEIARABBACgAcABfAHYAOwBtAF8AdgA7ADEALQAoADEALQBwAF8AdgApAF4AbQBfAHYAKQA7ADsAUAAuAEEARABKAC4ASABPAEwATQBfAFMASQBEAEEASwA9AEwAQQBNAEIARABBACgAcABfAHYAOwBtAF8AdgA7AEwARQBUACgAcABfAHMAOwBTAE8AUgBUAEkARQBSAEUATgAoAHAAXwB2ACkAOwBpAGQAXwB2ADsAUwBFAFEAVQBFAE4AWgAoAEEATgBaAEEASABMACgAcABfAHYAKQApADsAaQBkAF8AcwA7AFMATwBSAFQASQBFAFIARQBOAE4AQQBDAEgAKABpAGQAXwB2ADsAcABfAHYAKQA7AHAAXwBzAHQAYQByADsAMQAtACgAMQAtAHAAXwBzACkAXgAoAG0AXwB2ACsAMQAtAGkAZABfAHYAKQA7AFMATwBSAFQASQBFAFIARQBOAE4AQQBDAEgAKABwAF8AcwB0AGEAcgA7AGkAZABfAHMAKQApACkAOwA7AFAALgBBAEQASgAuAEgATwBDAEgAQgBFAFIARwA9AEwAQQBNAEIARABBACgAcABfAHYAOwBtAF8AdgA7AEwARQBUACgAcABfAHMAOwBTAE8AUgBUAEkARQBSAEUATgAoAHAAXwB2ACkAOwBpAGQAXwB2ADsAUwBFAFEAVQBFAE4AWgAoAEEATgBaAEEASABMACgAcABfAHYAKQApADsAaQBkAF8AcwA7AFMATwBSAFQASQBFAFIARQBOAE4AQQBDAEgAKABpAGQAXwB2ADsAcABfAHYAKQA7AHAAXwBzAHQAYQByADsAcABfAHMAKgBtAF8AdgAvACgAbQBfAHYAKwAxAC0AaQBkAF8AdgApADsAUwBPAFIAVABJAEUAUgBFAE4ATgBBAEMASAAoAHAAXwBzAHQAYQByADsAaQBkAF8AcwApACkAKQA7ADsAXABuAFMAVABBAFQALgBTAEUAPQBMAEEATQBCAEQAQQAoAHYAYQBsAHUAZQBzADsATABFAFQAKABzAGQAZQB2ADsAUwBUAEEAQgBXAC4AUwAoAHYAYQBsAHUAZQBzACkAOwBjAG4AdABfAHYAYQBsAHUAZQBzADsAQQBOAFoAQQBIAEwAKAB2AGEAbAB1AGUAcwApADsAcwBkAGUAdgAvAFcAVQBSAFoARQBMACgAYwBuAHQAXwB2AGEAbAB1AGUAcwApACkAKQA7ADsAUwBUAEEAVAAuAFMAVABEAC4ARQBSAFIATwBSAD0AUwBUAEEAVAAuAFMARQA7ADsAXABuAFMAVABBAFQALgBTAEkARwBOAD0ATABBAE0AQgBEAEEAKAB2AGEAbAB1AGUAOwAtADEAKgAoAHYAYQBsAHUAZQA8ADAAKQArACgAdgBhAGwAdQBlAD4AMAApACkAOwA7AFwAbgBTAFQAQQBUAC4ARABFAFMAQwBSAEkAQgBFAC4ATgBPAE0ASQBOAEEATAA9AEwAQQBNAEIARABBACgAZABhAHQAYQA7AFsAdgBhAHIAaQBhAGIAbABlAF0AOwBMAEUAVAAoAHYAYQByAGkAYQBiAGwAZQA7AHcAZQBuAG4AKABXAFUAUgBEAEUAQQBVAFMARwBFAEwAQQBTAFMARQBOACgAdgBhAHIAaQBhAGIAbABlACkAOwBcACIAXAAiADsAdgBhAHIAaQBhAGIAbABlACkAOwBWAFMAVABBAFAARQBMAE4AKABIAFMAVABBAFAARQBMAE4AKAB2AGEAcgBpAGEAYgBsAGUAOwBcACIAQQBiAHMAbwBsAHUAdABcACIAOwBcACIAUgBlAGwAYQB0AGkAdgBcACIAKQA7AEgAUwBUAEEAUABFAEwATgAoAFMAVABBAFQALgBUAEEAQgBMAEUAKABkAGEAdABhADsAVwBBAEgAUgApADsAcwB0AGEAdAAuAHQAYQBiAGwAZQAuAHIAZQBsAGEAdABpAHYAZQAoAGQAYQB0AGEAKQApACkAKQApADsAOwBcAG4AUwBUAEEAVAAuAFQAQQBCAEwARQAuAFIARQBMAEEAVABJAFYARQA9AEwAQQBNAEIARABBACgAYQB2AGEAbAA7AFsAYgB2AGEAbABfAG8AcgBfAGgAZQBhAGQAaQBuAGcAXQA7AFsAaABlAGEAZABpAG4AZwBdADsATABFAFQAKABiAF8AcAAxADsAVwBFAE4ATgBTACgAVwBVAFIARABFAEEAVQBTAEcARQBMAEEAUwBTAEUATgAoAGIAdgBhAGwAXwBvAHIAXwBoAGUAYQBkAGkAbgBnACkAOwAwADsAQQBOAFoAQQBIAEwAMgAoAGIAdgBhAGwAXwBvAHIAXwBoAGUAYQBkAGkAbgBnACkAPQAxADsAMQA7AEEATgBaAEEASABMADIAKABiAHYAYQBsAF8AbwByAF8AaABlAGEAZABpAG4AZwApAD0AQQBuAHoAYQBoAGwAMgAoAGEAdgBhAGwAKQA7ADIAOwBXAEEASABSADsAMAApADsAaABlAGEAZABpAG4AZwA7AFcARQBOAE4AUwAoAGIAXwBwADEAPQAxADsAbgAoAGIAdgBhAGwAXwBvAHIAXwBoAGUAYQBkAGkAbgBnACkAOwBXAFUAUgBEAEUAQQBVAFMARwBFAEwAQQBTAFMARQBOACgAaABlAGEAZABpAG4AZwApADsAMAA7AFcAQQBIAFIAOwBuACgAaABlAGEAZABpAG4AZwApACkAPAA+ADAAOwB0AGEAYgA7AHcAZQBuAG4AKABiAF8AcAAxAD0AMgA7AFMAVABBAFQALgBUAEEAQgBMAEUAKABhAHYAYQBsADsAYgB2AGEAbABfAG8AcgBfAGgAZQBhAGQAaQBuAGcAKQA7AFMAVABBAFQALgBUAEEAQgBMAEUAKABhAHYAYQBsACkAKQA7AHQAbwB0AGEAbABzADsAcwB1AG0AbQBlACgAdABhAGIAKQA7AHIAZQBzAHUAbAB0AHMAOwB0AGEAYgAvAHQAbwB0AGEAbABzADsAaQBkAF8AYQB2AGEAbAA7AEUASQBOAEQARQBVAFQASQBHACgAYQB2AGEAbAApADsAaQBkAF8AYgB2AGEAbAA7AFcARQBOAE4AKABiAF8AcAAxAD0AMgA7AG0AdAByAGEAbgBzACgARQBJAE4ARABFAFUAVABJAEcAKABiAHYAYQBsAF8AbwByAF8AaABlAGEAZABpAG4AZwApACkAOwAjAE4AVgApADsAdwBlAG4AbgAoAGgAZQBhAGQAaQBuAGcAOwB3AGUAbgBuACgAYgBfAHAAMQA9ADIAOwBWAFMAVABBAFAARQBMAE4AKABIAFMAVABBAFAARQBMAE4AKABcACIAXAAiADsAaQBkAF8AYgB2AGEAbAApADsASABTAFQAQQBQAEUATABOACgAaQBkAF8AYQB2AGEAbAA7AHIAZQBzAHUAbAB0AHMAKQApADsASABTAFQAQQBQAEUATABOACgAaQBkAF8AYQB2AGEAbAA7AHIAZQBzAHUAbAB0AHMAKQApADsAcgBlAHMAdQBsAHQAcwApACkAKQA7ADsAXABuAFMAVABBAFQALgBUAEEAQgBMAEUAPQBMAEEATQBCAEQAQQAoAGEAdgBhAGwAOwBbAGIAdgBhAGwAXwBvAHIAXwBoAGUAYQBkAGkAbgBnAF0AOwBbAGgAZQBhAGQAaQBuAGcAXQA7AEwARQBUACgAbQBkAGkAbQBfAGEAOwBaAGUAaQBsAGUAbgAoAGEAdgBhAGwAKQAtAFMAcABhAGwAdABlAG4AKABhAHYAYQBsACkAOwBhAHYAYQBsADsAdwBlAG4AbgAoAG0AZABpAG0AXwBhAD4AMAA7AHoAdQBzAHAAYQBsAHQAZQAoAGEAdgBhAGwAKQA7AHoAdQB6AGUAaQBsAGUAKABhAHYAYQBsACkAKQA7AG4AXwBhAHYAYQBsADsAQQBOAFoAQQBIAEwAMgAoAGEAdgBhAGwAKQA7AGkAZABfAGEAdgBhAGwAOwBFAEkATgBEAEUAVQBUAEkARwAoAGEAdgBhAGwAKQA7AGIAXwBwADEAOwBXAEUATgBOAFMAKABXAFUAUgBEAEUAQQBVAFMARwBFAEwAQQBTAFMARQBOACgAYgB2AGEAbABfAG8AcgBfAGgAZQBhAGQAaQBuAGcAKQA7ADAAOwBBAE4AWgBBAEgATAAyACgAYgB2AGEAbABfAG8AcgBfAGgAZQBhAGQAaQBuAGcAKQA9ADEAOwAxADsAQQBOAFoAQQBIAEwAMgAoAGIAdgBhAGwAXwBvAHIAXwBoAGUAYQBkAGkAbgBnACkAPQBuAF8AYQB2AGEAbAA7ADIAOwBXAEEASABSADsAMAApADsAaABlAGEAZABpAG4AZwA7AFcARQBOAE4AUwAoAGIAXwBwADEAPQAxADsAbgAoAGIAdgBhAGwAXwBvAHIAXwBoAGUAYQBkAGkAbgBnACkAOwBXAFUAUgBEAEUAQQBVAFMARwBFAEwAQQBTAFMARQBOACgAaABlAGEAZABpAG4AZwApADsAMAA7AFcAQQBIAFIAOwBuACgAaABlAGEAZABpAG4AZwApACkAPAA+ADAAOwBiAHYAYQBsADsAdwBlAG4AbgAoAGIAXwBwADEAPQAyADsAYgB2AGEAbABfAG8AcgBfAGgAZQBhAGQAaQBuAGcAOwB3AGUAbgBuACgAbQBkAGkAbQBfAGEAPgAwADsAVgBSAEUAUABFAEEAVAAoADEAOwBuAF8AYQB2AGEAbAApADsASABSAEUAUABFAEEAVAAoADEAOwBuAF8AYQB2AGEAbAApACkAKQA7AGkAZABfAGIAdgBhAGwAOwBNAFQAUgBBAE4AUwAoAEUASQBOAEQARQBVAFQASQBHACgAYgB2AGEAbAApACkAOwBpAGQAXwBhAHYAYQBsAFQAOwBNAFQAUgBBAE4AUwAoAGkAZABfAGEAdgBhAGwAKQA7AHIAZQBzAHUAbAB0AHMAOwBNAE0AVQBMAFQAKABtAHQAcgBhAG4AcwAoACgASQBTAFQARgBFAEgATABFAFIAKABpAGQAXwBhAHYAYQBsAFQAKQArAEkAUwBUAEYARQBIAEwARQBSACgAYQB2AGEAbAApAC0ASQBTAFQARgBFAEgATABFAFIAKABhAHYAYQBsACkAKgBJAFMAVABGAEUASABMAEUAUgAoAGkAZABfAGEAdgBhAGwAVAApACkAKgB3AGUAbgBuAGYAZQBoAGwAZQByACgARgBFAEgATABFAFIALgBUAFkAUAAoAGkAZABfAGEAdgBhAGwAVAApAD0ARgBFAEgATABFAFIALgBUAFkAUAAoAGEAdgBhAGwAKQA7ADAAKQArAHcAZQBuAG4AZgBlAGgAbABlAHIAKAAxACoAKABpAGQAXwBhAHYAYQBsAFQAPQBhAHYAYQBsACkAOwAwACkAKQA7ACgASQBTAFQARgBFAEgATABFAFIAKABpAGQAXwBiAHYAYQBsACkAKwBJAFMAVABGAEUASABMAEUAUgAoAGIAdgBhAGwAKQAtAEkAUwBUAEYARQBIAEwARQBSACgAYgB2AGEAbAApACoASQBTAFQARgBFAEgATABFAFIAKABpAGQAXwBiAHYAYQBsACkAKQAqAHcAZQBuAG4AZgBlAGgAbABlAHIAKABGAEUASABMAEUAUgAuAFQAWQBQACgAaQBkAF8AYgB2AGEAbAApAD0ARgBFAEgATABFAFIALgBUAFkAUAAoAGIAdgBhAGwAKQA7ADAAKQArAHcAZQBuAG4AZgBlAGgAbABlAHIAKAAxACoAKABpAGQAXwBiAHYAYQBsAD0AYgB2AGEAbAApADsAMAApACkAOwBXAEUATgBOACgAaABlAGEAZABpAG4AZwA7AHcAZQBuAG4AKABiAF8AcAAxAD0AMgA7AFYAUwBUAEEAUABFAEwATgAoAEgAUwBUAEEAUABFAEwATgAoAFwAIgBcACIAOwBpAGQAXwBiAHYAYQBsACkAOwBIAFMAVABBAFAARQBMAE4AKABpAGQAXwBhAHYAYQBsADsAcgBlAHMAdQBsAHQAcwApACkAOwBIAFMAVABBAFAARQBMAE4AKABpAGQAXwBhAHYAYQBsADsAcgBlAHMAdQBsAHQAcwApACkAOwByAGUAcwB1AGwAdABzACkAKQApADsAOwBcAG4AVABBAEIATABFAC4AUwBFAEwARQBDAFQAPQBMAEEATQBCAEQAQQAoAHQAYQBiAF8AbgBhAG0AZQA7AGMAbwBsAF8AbgBhAG0AZQBzADsAWwB3AGkAdABoAF8AaABlAGEAZABlAHIAcwBdADsAbABlAHQAKABuAF8AcgBvAHcAcwA7AFoARQBJAEwARQBOACgASQBOAEQASQBSAEUASwBUACgAdABhAGIAXwBuAGEAbQBlACkAKQA7AGMAbwBsAF8AcgBlAGYAcwA7AHQAYQBiAF8AbgBhAG0AZQAmAFwAIgBbAFwAIgAmAGMAbwBsAF8AbgBhAG0AZQBzACYAXAAiAF0AXAAiADsAbgBvAF8AcgBvAHcAcwA7AHMAZQBxAHUAZQBuAHoAKABuAF8AcgBvAHcAcwApADsAbgBvAF8AYwBvAGwAcwA7AHMAZQBxAHUAZQBuAHoAKABBAE4AWgBBAEgATAAyACgAYwBvAGwAXwBuAGEAbQBlAHMAKQApACsAMQA7AGMAbwBsAF8AaABlAGEAZABlAHIAcwA7AFcARQBOAE4AKABaAEUASQBMAEUATgAoAGMAbwBsAF8AbgBhAG0AZQBzACkAPgBTAFAAQQBMAFQARQBOACgAYwBvAGwAXwBuAGEAbQBlAHMAKQA7AE0AVABSAEEATgBTACgAYwBvAGwAXwBuAGEAbQBlAHMAKQA7AGMAbwBsAF8AbgBhAG0AZQBzACkAOwByAGUAcwB1AGwAdAA7AFMAUABBAEwAVABFAE4AVwBBAEgATAAoAFIARQBEAFUAQwBFACgAbgBvAF8AcgBvAHcAcwA7AGMAbwBsAF8AcgBlAGYAcwA7AEwAQQBNAEIARABBACgAYQBjAGMAdQA7AGMAbwBsAF8AcgBlAGYAOwBIAFMAVABBAFAARQBMAE4AKABhAGMAYwB1ADsATABFAFQAKAB2AGEAbAB1AGUAcwA7AEkATgBEAEkAUgBFAEsAVAAoAGMAbwBsAF8AcgBlAGYAKQA7AHcAZQBuAG4AKABJAFMAVABMAEUARQBSACgAdgBhAGwAdQBlAHMAKQA7ACMATgBWADsAdgBhAGwAdQBlAHMAKQApACkAKQApADsAbgBvAF8AYwBvAGwAcwApADsAVwBFAE4ATgAoAE8ARABFAFIAKABXAFUAUgBEAEUAQQBVAFMARwBFAEwAQQBTAFMARQBOACgAdwBpAHQAaABfAGgAZQBhAGQAZQByAHMAKQA7AE4ASQBDAEgAVAAoAHcAaQB0AGgAXwBoAGUAYQBkAGUAcgBzACkAKQA7AHIAZQBzAHUAbAB0ADsAVgBTAFQAQQBQAEUATABOACgAYwBvAGwAXwBoAGUAYQBkAGUAcgBzADsAcgBlAHMAdQBsAHQAKQApACkAKQA7ADsAXABuAEEATgBPAFYAQQAuAFQARQBTAFQAPQBMAEEATQBCAEQAQQAoAHYAYQBsAHUAZQBzADsAZwByAG8AdQBwAHMAOwBbAGgAZQBhAGQAZQByAHMAXQA7AEwARQBUACgAbgBfAGoAOwBHAFIATwBVAFAALgBDAE8AVQBOAFQAKABnAHIAbwB1AHAAcwApADsAZwByAG8AdQBwAF8AawA7AEEATgBaAEEASABMACgAbgBfAGoAKQA7AE4AXwBhAGwAbAA7AEEATgBaAEEASABMACgAdgBhAGwAdQBlAHMAKQA7AGQAZgBfADEAOwBnAHIAbwB1AHAAXwBrAC0AMQA7AGQAZgBfADIAOwBOAF8AYQBsAGwALQBnAHIAbwB1AHAAXwBrADsAbQB1AF8AYQBsAGwAOwBNAEkAVABUAEUATABXAEUAUgBUACgAdgBhAGwAdQBlAHMAKQA7AG0AdQBfAGoAOwBHAFIATwBVAFAALgBNAEUAQQBOACgAdgBhAGwAdQBlAHMAOwBnAHIAbwB1AHAAcwApADsAbQBfAGcAcgBvAHUAcABzADsAMQAqACgAZwByAG8AdQBwAHMAPQBNAFQAUgBBAE4AUwAoAEUASQBOAEQARQBVAFQASQBHACgAZwByAG8AdQBwAHMAKQApACkAOwB0AF8AUwBTAEIAOwBTAFUATQBNAEUAKABuAF8AagAqACgAbQB1AF8AagAtAG0AdQBfAGEAbABsACkAXgAyACkAOwB0AF8AUwBTAEUAOwBTAFUATQBNAEUAKAAoAG0AXwBnAHIAbwB1AHAAcwAqAHYAYQBsAHUAZQBzAC0AbQBfAGcAcgBvAHUAcABzACoATQBUAFIAQQBOAFMAKABtAHUAXwBqACkAKQBeADIAKQA7AEYAXwB2AGEAbAB1AGUAOwAoAHQAXwBTAFMAQgAvAGQAZgBfADEAKQAvACgAdABfAFMAUwBFAC8AZABmAF8AMgApADsAcABfAHYAYQBsAHUAZQA7AEYALgBWAEUAUgBUAC4AUgBFACgARgBfAHYAYQBsAHUAZQA7AGQAZgBfADEAOwBkAGYAXwAyACkAOwByAGUAcwB1AGwAdABzADsASABTAFQAQQBQAEUATABOACgARgBfAHYAYQBsAHUAZQA7AGQAZgBfADEAOwBkAGYAXwAyADsAcABfAHYAYQBsAHUAZQApADsAdwBlAG4AbgAoAG8AZABlAHIAKABXAFUAUgBEAEUAQQBVAFMARwBFAEwAQQBTAFMARQBOACgAaABlAGEAZABlAHIAcwApADsAbgBpAGMAaAB0ACgAaABlAGEAZABlAHIAcwApACkAOwByAGUAcwB1AGwAdABzADsAVgBTAFQAQQBQAEUATABOACgASABTAFQAQQBQAEUATABOACgAXAAiAEYAXAAiADsAXAAiAGQAZgBfADEAXAAiADsAXAAiAGQAZgBfADIAXAAiADsAXAAiAHAAXAAiACkAOwByAGUAcwB1AGwAdABzACkAKQApACkAOwA7AFwAbgBDAEgASQBRAFUALgBUAEUAUwBUAC4AUwA9AEwAQQBNAEIARABBACgAeABfAGkAOwB5AF8AaQA7AFsAaABlAGEAZABlAHIAXQA7AEwARQBUACgAbgBfAGkAagA7AFMAVABBAFQALgBUAEEAQgBMAEUAKAB4AF8AaQA7AHkAXwBpACkAOwBXAEUATgBOACgAVwBVAFIARABFAEEAVQBTAEcARQBMAEEAUwBTAEUATgAoAGgAZQBhAGQAZQByACkAOwBDAEgASQBRAFUALgBUAEUAUwBUAC4AWAAoAG4AXwBpAGoAOwBGAEEATABTAEMASAApADsAQwBIAEkAUQBVAC4AVABFAFMAVAAuAFgAKABuAF8AaQBqADsAaABlAGEAZABlAHIAKQApACkAKQA7ADsAQwBIAEkAUQBVAC4AVABFAFMAVAAyAD0AQwBIAEkAUQBVAC4AVABFAFMAVAAuAFMAOwA7AFwAbgBDAEgASQBRAFUALgBUAEUAUwBUADIALgBIAEUAQQBEAEUAUgA9AEwAQQBNAEIARABBACgASABTAFQAQQBQAEUATABOACgAXAAiAHAAXAAiADsAXAAiAGQAZgBcACIAKQApADsAOwBcAG4AQwBIAEkAUQBVAC4AVABFAFMAVAAuAFgAPQBMAEEATQBCAEQAQQAoAG4AXwBpAGoAOwBbAGgAZQBhAGQAZQByAF0AOwBMAEUAVAAoAG4AXwBpADsAcgBvAHcAcwB1AG0AKABuAF8AaQBqACkAOwBuAF8AagA7AGMAbwBsAHMAdQBtACgAbgBfAGkAagApADsAbgA7AFMAVQBNAE0ARQAoAG4AXwBqACkAOwBFAFcAOwBuAF8AaQAqAG4AXwBqAC8AbgA7AHYAXwB4AGkAMgA7AFMAVQBNAE0ARQAoACgAbgBfAGkAagAtAEUAVwApAF4AMgAvAEUAVwApADsAZABmADsATQBBAFgAKABBAE4AWgBBAEgATAAoAG4AXwBpACkAOwBBAE4AWgBBAEgATAAoAG4AXwBqACkAKQAtADEAOwByAGUAcwB1AGwAdABzADsASABTAFQAQQBQAEUATABOACgAQwBIAEkAUQBVAC4AVgBFAFIAVAAuAFIARQAoAHYAXwB4AGkAMgA7AGQAZgApADsAZABmACkAOwB3AGUAbgBuACgATwBEAEUAUgAoAFcAVQBSAEQARQBBAFUAUwBHAEUATABBAFMAUwBFAE4AKABoAGUAYQBkAGUAcgApADsATgBJAEMASABUACgAaABlAGEAZABlAHIAKQApADsAcgBlAHMAdQBsAHQAcwA7AFYAUwBUAEEAUABFAEwATgAoAEMASABJAFEAVQAuAFQARQBTAFQAMgAuAEgARQBBAEQARQBSACgAKQA7AHIAZQBzAHUAbAB0AHMAKQApACkAKQA7ADsAXABuAEQAVQBOAE4ALgBUAEUAUwBUAD0ATABBAE0AQgBEAEEAKAB2AGEAbAB1AGUAcwA7AGcAcgBvAHUAcABzADsAWwBhAGQAagB1AHMAdABtAGUAbgB0AF0AOwBMAEUAVAAoAHIAYQBuAGsAcwA7AFIAQQBOAEcALgBNAEkAVABUAEUATABXACgAdgBhAGwAdQBlAHMAOwB2AGEAbAB1AGUAcwApADsAbgBfAGEAbABsADsAQQBOAFoAQQBIAEwAKAB2AGEAbAB1AGUAcwApADsAbgBfAGkAOwBHAFIATwBVAFAALgBDAE8AVQBOAFQAKABnAHIAbwB1AHAAcwApADsAZwByAG8AdQBwAF8AaQA7AEUASQBOAEQARQBVAFQASQBHACgAZwByAG8AdQBwAHMAKQA7AHIAYQBuAGsAcwB1AG0AXwBpADsAQwBPAEwAUwBVAE0AKAByAGEAbgBrAHMAKgAoAGcAcgBvAHUAcABzAD0ATQBUAFIAQQBOAFMAKABnAHIAbwB1AHAAXwBpACkAKQApAC8ATQBUAFIAQQBOAFMAKABuAF8AaQApADsAcwBpAGcAbQBhAF8AYwBvAHIAcgBlAGMAdABpAG8AbgA7AG4AXwBhAGwAbAAqACgAbgBfAGEAbABsACsAMQApAC8AMQAyADsAYgBpAG4AZABfAGMAbwB1AG4AdAA7AEcAUgBPAFUAUAAuAEMATwBVAE4AVAAoAHIAYQBuAGsAcwApADsAYgBpAG4AZABfAGMAbwByAHIAZQBjAHQAaQBvAG4AOwBTAFUATQBNAEUAKABiAGkAbgBkAF8AYwBvAHUAbgB0AF4AMwAtAGIAaQBuAGQAXwBjAG8AdQBuAHQAKQAvACgAMQAyACoAKABuAF8AYQBsAGwALQAxACkAKQA7AG0AYQB0AF8AdAByAGkAYQBuAGcAOwBNAFQAUgBJAEEATgBHAEwARQAoAEEATgBaAEEASABMACgAbgBfAGkAKQA7AEYAQQBMAFMAQwBIADsAVwBBAEgAUgApADsAbQBhAHQAXwBXADEAOwBtAGEAdABfAHQAcgBpAGEAbgBnACoAbQB0AHIAYQBuAHMAKAByAGEAbgBrAHMAdQBtAF8AaQApADsAbQBhAHQAXwBXADIAOwBtAGEAdABfAHQAcgBpAGEAbgBnACoAcgBhAG4AawBzAHUAbQBfAGkAOwBtAGEAdABfAG4AMQA7AG0AYQB0AF8AdAByAGkAYQBuAGcAKgBNAFQAUgBBAE4AUwAoADEALwBuAF8AaQApADsAbQBhAHQAXwBuADIAOwBtAGEAdABfAHQAcgBpAGEAbgBnACoAMQAvAG4AXwBpADsAcwBpAGcAbQBhADsAVwBVAFIAWgBFAEwAKAAoAHMAaQBnAG0AYQBfAGMAbwByAHIAZQBjAHQAaQBvAG4ALQBiAGkAbgBkAF8AYwBvAHIAcgBlAGMAdABpAG8AbgApACoAKABtAGEAdABfAG4AMQArAG0AYQB0AF8AbgAyACkAKQA7AGQAZQBsAHQAYQBfAFIAUwA7AG0AYQB0AF8AVwAxAC0AbQBhAHQAXwBXADIAOwB6AF8AdgBhAGwAdQBlADsAZABlAGwAdABhAF8AUgBTAC8AcwBpAGcAbQBhADsAZwBfAG4AYgByADsAUwBFAFEAVQBFAE4AWgAoAEEATgBaAEEASABMACgAbgBfAGkAKQApADsAegBfAGkAZABfAHIAYQB3ADsAegB1AHMAcABhAGwAdABlACgAZwBfAG4AYgByACoAbQBhAHQAXwB0AHIAaQBhAG4AZwApADsAcwBfAGkAZABfAHIAYQB3ADsAegB1AHMAcABhAGwAdABlACgAbQB0AHIAYQBuAHMAKABnAF8AbgBiAHIAKQAqAG0AYQB0AF8AdAByAGkAYQBuAGcAKQA7AHoAXwBpAGQAOwBmAGkAbAB0AGUAcgAoAHoAXwBpAGQAXwByAGEAdwA7AHoAXwBpAGQAXwByAGEAdwApADsAcwBfAGkAZAA7AGYAaQBsAHQAZQByACgAcwBfAGkAZABfAHIAYQB3ADsAcwBfAGkAZABfAHIAYQB3ACkAOwB6AF8AZgBpAG4AYQBsADsAaQBuAGQAZQB4ACgAegBfAHYAYQBsAHUAZQA7AHoAXwBpAGQAOwBzAF8AaQBkACkAOwBtAF8AcABhAGkAcgBzADsAcwB1AG0AbQBlACgAUwBFAFEAVQBFAE4AWgAoAEEATgBaAEEASABMACgAbgBfAGkAKQA7ADEAOwAwACkAKQA7AHAAXwB2AGEAbAB1AGUAXwByAGEAdwA7AE4ATwBSAE0ALgBTAC4AVgBFAFIAVAAoAHcAZQBuAG4AKAB6AF8AZgBpAG4AYQBsAD4AMAA7AC0AMQAqAHoAXwBmAGkAbgBhAGwAOwB6AF8AZgBpAG4AYQBsACkAOwBXAEEASABSACkAOwBwAF8AdgBhAGwAdQBlADsAVwBFAE4ATgBTACgATwBEAEUAUgAoAFcAVQBSAEQARQBBAFUAUwBHAEUATABBAFMAUwBFAE4AKABhAGQAagB1AHMAdABtAGUAbgB0ACkAOwBLAEwARQBJAE4AKABhAGQAagB1AHMAdABtAGUAbgB0ACkAPQBcACIAaABvAGwAbQBcACIAKQA7AFAALgBBAEQASgAuAEgATwBMAE0AKABwAF8AdgBhAGwAdQBlAF8AcgBhAHcAOwBtAF8AcABhAGkAcgBzACkAOwBLAEwARQBJAE4AKABhAGQAagB1AHMAdABtAGUAbgB0ACkAPQBcACIAYgBvAG4AZgBlAHIAcgBvAG4AaQBcACIAOwBQAC4AQQBEAEoALgBCAE8ATgBGAEUAUgBSAE8ATgBJACgAcABfAHYAYQBsAHUAZQBfAHIAYQB3ADsAbQBfAHAAYQBpAHIAcwApADsASwBMAEUASQBOACgAYQBkAGoAdQBzAHQAbQBlAG4AdAApAD0AXAAiAGgAbwBjAGgAYgBlAHIAZwBcACIAOwBQAC4AQQBEAEoALgBIAE8AQwBIAEIARQBSAEcAKABwAF8AdgBhAGwAdQBlAF8AcgBhAHcAOwBtAF8AcABhAGkAcgBzACkAOwBLAEwARQBJAE4AKABhAGQAagB1AHMAdABtAGUAbgB0ACkAPQBcACIAcwBpAGQAYQBrAFwAIgA7AFAALgBBAEQASgAuAFMASQBEAEEASwAoAHAAXwB2AGEAbAB1AGUAXwByAGEAdwA7AG0AXwBwAGEAaQByAHMAKQA7AEsATABFAEkATgAoAGEAZABqAHUAcwB0AG0AZQBuAHQAKQA9AFwAIgBoAG8AbABtAHMAaQBkAGEAawBcACIAOwBQAC4AQQBEAEoALgBIAE8ATABNAF8AUwBJAEQAQQBLACgAcABfAHYAYQBsAHUAZQBfAHIAYQB3ADsAbQBfAHAAYQBpAHIAcwApADsASwBMAEUASQBOACgAYQBkAGoAdQBzAHQAbQBlAG4AdAApAD0AXAAiAGgAbwBsAG0ALQBzAGkAZABhAGsAXAAiADsAUAAuAEEARABKAC4ASABPAEwATQBfAFMASQBEAEEASwAoAHAAXwB2AGEAbAB1AGUAXwByAGEAdwA7AG0AXwBwAGEAaQByAHMAKQA7AEsATABFAEkATgAoAGEAZABqAHUAcwB0AG0AZQBuAHQAKQA9AFwAIgBoAG8AbABtAF8AcwBpAGQAYQBrAFwAIgA7AFAALgBBAEQASgAuAEgATwBMAE0AXwBTAEkARABBAEsAKABwAF8AdgBhAGwAdQBlAF8AcgBhAHcAOwBtAF8AcABhAGkAcgBzACkAOwBXAEEASABSADsAcABfAHYAYQBsAHUAZQBfAHIAYQB3ACkAOwB2AHMAdABhAHAAZQBsAG4AKABIAFMAVABBAFAARQBMAE4AKABcACIAQQBcACIAOwBcACIAQgBcACIAOwBcACIAUwB0AGEAdABpAHMAdABpAGsAXAAiADsAXAAiAHAAXAAiACkAOwBIAFMAVABBAFAARQBMAE4AKABaAEUASQBMAEUATgBXAEEASABMACgAZwByAG8AdQBwAF8AaQA7AHoAXwBpAGQAKQA7AHoAZQBpAGwAZQBuAHcAYQBoAGwAKABnAHIAbwB1AHAAXwBpADsAcwBfAGkAZAApADsAegBfAGYAaQBuAGEAbAA7AHcAZQBuAG4AKABwAF8AdgBhAGwAdQBlAD4AMQA7ADEAOwBwAF8AdgBhAGwAdQBlACkAKQApACkAKQA7ADsAXABuAEYALgBUAEUAUwBUAC4AUwA9AEwAQQBNAEIARABBACgAYQBfAHYAOwB1AF8AdgA7AFsAaABlAGEAZABlAHIAcwBdADsATABFAFQAKABsAF8AdQB2ADsAWgBVAFMAUABBAEwAVABFACgARQBJAE4ARABFAFUAVABJAEcAKAB1AF8AdgApACkAOwByAGUAcwB1AGwAdAA7AFcARQBOAE4AKABBAE4AWgBBAEgATAAyACgAbABfAHUAdgApAD0AMgA7AEYALgBUAEUAUwBUACgARgBJAEwAVABFAFIAKABhAF8AdgA7AHUAXwB2AD0ASQBOAEQARQBYACgAdQBfAHYAOwAxADsAMQApACkAOwBGAEkATABUAEUAUgAoAGEAXwB2ADsAdQBfAHYAPQBJAE4ARABFAFgAKAB1AF8AdgA7ADIAOwAxACkAKQApADsAIwBXAEUAUgBUACEAKQA7AFcARQBOAE4AKABPAEQARQBSACgAVwBVAFIARABFAEEAVQBTAEcARQBMAEEAUwBTAEUATgAoAGgAZQBhAGQAZQByAHMAKQA7AE4ASQBDAEgAVAAoAGgAZQBhAGQAZQByAHMAKQApADsAcgBlAHMAdQBsAHQAOwBWAFMAVABBAFAARQBMAE4AKABcACIAcABcACIAOwByAGUAcwB1AGwAdAApACkAKQApADsAOwBcAG4ASwBSAFUAUwBLAEEATABfAFcAQQBMAEwASQBTAC4AVABFAFMAVAA9AEwAQQBNAEIARABBACgAdgBhAGwAdQBlAHMAOwBnAHIAbwB1AHAAcwA7AFsAaABlAGEAZABlAHIAcwBdADsATABFAFQAKABuAF8AYQBsAGwAOwBBAE4AWgBBAEgATAAoAHYAYQBsAHUAZQBzACkAOwBuAF8AZwByAG8AdQBwAHMAOwBBAE4AWgBBAEgATAAyACgARQBJAE4ARABFAFUAVABJAEcAKABnAHIAbwB1AHAAcwApACkAOwBkAF8AZgA7AG4AXwBnAHIAbwB1AHAAcwAtADEAOwBuAF8AaAA7AEcAUgBPAFUAUAAuAEMATwBVAE4AVAAoAGcAcgBvAHUAcABzACkAOwByAGEAbgBrAHMAOwBSAEEATgBHAC4ATQBJAFQAVABFAEwAVwAoAHYAYQBsAHUAZQBzADsAdgBhAGwAdQBlAHMAKQA7AGIAXwBiAGkAbgBkAGkAbgBnAHMAOwBBAE4AWgBBAEgATAAoAEUASQBOAEQARQBVAFQASQBHACgAcgBhAG4AawBzACkAKQA8AG4AXwBhAGwAbAA7AGgAXwBjAG8AcgByAGUAYwB0AGkAbwBuADsALQAzACoAKABuAF8AYQBsAGwAKwAxACkAOwBoAF8AZgBhAGMAdABvAHIAOwAxADIALwAoAG4AXwBnAHIAbwB1AHAAcwAqACgAbgBfAGcAcgBvAHUAcABzACsAMQApAC0AaABfAGMAbwByAHIAZQBjAHQAaQBvAG4AKQA7AG0AXwBnAHIAbwB1AHAAcwA7ADEAKgAoAGcAcgBvAHUAcABzAD0ATQBUAFIAQQBOAFMAKABFAEkATgBEAEUAVQBUAEkARwAoAGcAcgBvAHUAcABzACkAKQApADsASABfAGMAbwByAGUAOwBoAF8AZgBhAGMAdABvAHIAKgBTAFUATQBNAEUAKABDAE8ATABTAFUATQAoAG0AXwBnAHIAbwB1AHAAcwAqAHIAYQBuAGsAcwApAC8ATQBUAFIAQQBOAFMAKABuAF8AaAApACkAOwBiAGkAbgBkAF8AZgBhAGMAdABvAHIAOwAxAC8AKABuAF8AYQBsAGwAXgAzAC0AbgBfAGEAbABsACkAOwBiAGkAbgBkAF8AYwBvAHUAbgB0ADsARwBSAE8AVQBQAC4AQwBPAFUATgBUACgAcgBhAG4AawBzACkAOwBiAGkAbgBkAF8AYwBvAHIAcgBlAGMAdABpAG8AbgA7ADEALQBTAFUATQBNAEUAKABiAGkAbgBkAF8AYwBvAHUAbgB0AF4AMwAtAGIAaQBuAGQAXwBjAG8AdQBuAHQAKQAqAGIAaQBuAGQAXwBmAGEAYwB0AG8AcgA7AEgAXwB2AGEAbAB1AGUAOwB3AGUAbgBuACgAYgBfAGIAaQBuAGQAaQBuAGcAcwA7AEgAXwBjAG8AcgBlAC8AYgBpAG4AZABfAGMAbwByAHIAZQBjAHQAaQBvAG4AOwBIAF8AYwBvAHIAZQApADsAcABfAHYAYQBsAHUAZQA7AEMASABJAFEAVQAuAFYARQBSAFQALgBSAEUAKABIAF8AdgBhAGwAdQBlADsAZABfAGYAKQA7AHIAZQBzAHUAbAB0AHMAOwBIAFMAVABBAFAARQBMAE4AKABIAF8AdgBhAGwAdQBlADsAZABfAGYAOwBwAF8AdgBhAGwAdQBlACkAOwB3AGUAbgBuACgAbwBkAGUAcgAoAFcAVQBSAEQARQBBAFUAUwBHAEUATABBAFMAUwBFAE4AKABoAGUAYQBkAGUAcgBzACkAOwBuAGkAYwBoAHQAKABoAGUAYQBkAGUAcgBzACkAKQA7AHIAZQBzAHUAbAB0AHMAOwBWAFMAVABBAFAARQBMAE4AKABIAFMAVABBAFAARQBMAE4AKABcACIASABcACIAOwBcACIAZABmAFwAIgA7AFwAIgBwAFwAIgApADsAcgBlAHMAdQBsAHQAcwApACkAKQApADsAOwBcAG4AUABBAEkAUgBXAEkAUwBFAC4ARgAuAFQARQBTAFQAPQBMAEEATQBCAEQAQQAoAHYAYQBsAHUAZQBzADsAZwByAG8AdQBwAHMAOwBbAGEAZABqAHUAcwB0AG0AZQBuAHQAXQA7AEwARQBUACgAbgBfAGEAbABsADsAQQBOAFoAQQBIAEwAKAB2AGEAbAB1AGUAcwApADsAZwByAG8AdQBwAF8AbgBhAG0AZQBzADsARQBJAE4ARABFAFUAVABJAEcAKABnAHIAbwB1AHAAcwApADsAawBfAGEAbABsADsAQQBOAFoAQQBIAEwAMgAoAGcAcgBvAHUAcABfAG4AYQBtAGUAcwApADsAbQBfAHQAcgBpAGEAbgBnADsATQBUAFIASQBBAE4ARwBMAEUAKABrAF8AYQBsAGwAOwA7ADEAKQA7AGcAcgBvAHUAcABfAGkAZAA7AFMARQBRAFUARQBOAFoAKABrAF8AYQBsAGwAKQA7AGcAcgBwAF8AMQA7AFoAVQBTAFAAQQBMAFQARQAoAG0AXwB0AHIAaQBhAG4AZwAqAGcAcgBvAHUAcABfAGkAZAApADsAZwByAHAAXwAyADsAWgBVAFMAUABBAEwAVABFACgAbQBfAHQAcgBpAGEAbgBnACoATQBUAFIAQQBOAFMAKABnAHIAbwB1AHAAXwBpAGQAKQApADsAZwAxAF8AaQBkADsAZgBpAGwAdABlAHIAKABnAHIAcABfADEAOwBnAHIAcABfADEAKQA7AGcAMgBfAGkAZAA7AGYAaQBsAHQAZQByACgAZwByAHAAXwAyADsAZwByAHAAXwAyACkAOwBnADEAXwBuAGEAbQBlAHMAOwBJAE4ARABFAFgAKABnAHIAbwB1AHAAXwBuAGEAbQBlAHMAOwBnADEAXwBpAGQAKQA7AGcAMgBfAG4AYQBtAGUAcwA7AEkATgBEAEUAWAAoAGcAcgBvAHUAcABfAG4AYQBtAGUAcwA7AGcAMgBfAGkAZAApADsAcABfAHYAYQBsAHUAZQBzADsAbQBhAHAAKABnADEAXwBuAGEAbQBlAHMAOwBnADIAXwBuAGEAbQBlAHMAOwBMAEEATQBCAEQAQQAoAGEAXwB2ADsAYgBfAHYAOwBGAC4AVABFAFMAVAAoAGYAaQBsAHQAZQByACgAdgBhAGwAdQBlAHMAOwBnAHIAbwB1AHAAcwA9AGEAXwB2ACkAOwBmAGkAbAB0AGUAcgAoAHYAYQBsAHUAZQBzADsAZwByAG8AdQBwAHMAPQBiAF8AdgApACkAKQApADsAcABfAHYAYQBsAHUAZQBfAHIAYQB3ADsAdwBlAG4AbgAoAHAAXwB2AGEAbAB1AGUAcwA+ADAALgA1ADsAMQAtAHAAXwB2AGEAbAB1AGUAcwA7AHAAXwB2AGEAbAB1AGUAcwApADsAcABfAHMAdABhAHIAOwAyACoAVwBFAE4ATgBTACgAVwBVAFIARABFAEEAVQBTAEcARQBMAEEAUwBTAEUATgAoAGEAZABqAHUAcwB0AG0AZQBuAHQAKQA7AFAALgBBAEQASgAuAEIATwBOAEYARQBSAFIATwBOAEkAKABwAF8AdgBhAGwAdQBlAF8AcgBhAHcAOwBrAF8AYQBsAGwAKQA7AEsATABFAEkATgAoAGEAZABqAHUAcwB0AG0AZQBuAHQAKQA9AFwAIgBoAG8AbABtAFwAIgA7AFAALgBBAEQASgAuAEgATwBMAE0AKABwAF8AdgBhAGwAdQBlAF8AcgBhAHcAOwBrAF8AYQBsAGwAKQA7AEsATABFAEkATgAoAGEAZABqAHUAcwB0AG0AZQBuAHQAKQA9AFwAIgBiAG8AbgBmAGUAcgByAG8AbgBpAFwAIgA7AFAALgBBAEQASgAuAEIATwBOAEYARQBSAFIATwBOAEkAKABwAF8AdgBhAGwAdQBlAF8AcgBhAHcAOwBrAF8AYQBsAGwAKQA7AEsATABFAEkATgAoAGEAZABqAHUAcwB0AG0AZQBuAHQAKQA9AFwAIgBoAG8AYwBoAGIAZQByAGcAXAAiADsAUAAuAEEARABKAC4ASABPAEMASABCAEUAUgBHACgAcABfAHYAYQBsAHUAZQBfAHIAYQB3ADsAawBfAGEAbABsACkAOwBLAEwARQBJAE4AKABhAGQAagB1AHMAdABtAGUAbgB0ACkAPQBcACIAcwBpAGQAYQBrAFwAIgA7AFAALgBBAEQASgAuAFMASQBEAEEASwAoAHAAXwB2AGEAbAB1AGUAXwByAGEAdwA7AGsAXwBhAGwAbAApADsASwBMAEUASQBOACgAYQBkAGoAdQBzAHQAbQBlAG4AdAApAD0AXAAiAGgAbwBsAG0AcwBpAGQAYQBrAFwAIgA7AFAALgBBAEQASgAuAEgATwBMAE0AXwBTAEkARABBAEsAKABwAF8AdgBhAGwAdQBlAF8AcgBhAHcAOwBrAF8AYQBsAGwAKQA7AEsATABFAEkATgAoAGEAZABqAHUAcwB0AG0AZQBuAHQAKQA9AFwAIgBoAG8AbABtAC0AcwBpAGQAYQBrAFwAIgA7AFAALgBBAEQASgAuAEgATwBMAE0AXwBTAEkARABBAEsAKABwAF8AdgBhAGwAdQBlAF8AcgBhAHcAOwBrAF8AYQBsAGwAKQA7AEsATABFAEkATgAoAGEAZABqAHUAcwB0AG0AZQBuAHQAKQA9AFwAIgBoAG8AbABtAF8AcwBpAGQAYQBrAFwAIgA7AFAALgBBAEQASgAuAEgATwBMAE0AXwBTAEkARABBAEsAKABwAF8AdgBhAGwAdQBlAF8AcgBhAHcAOwBrAF8AYQBsAGwAKQA7AFcAQQBIAFIAOwBwAF8AdgBhAGwAdQBlAF8AcgBhAHcAKQA7AGgAcwB0AGEAcABlAGwAbgAoAGcAMQBfAG4AYQBtAGUAcwA7AGcAMgBfAG4AYQBtAGUAcwA7AHcAZQBuAG4AKABwAF8AcwB0AGEAcgA+ADEAOwAxADsAcABfAHMAdABhAHIAKQApACkAKQA7ADsAXABuAFAAQQBJAFIAVwBJAFMARQAuAFQALgBUAEUAUwBUAD0ATABBAE0AQgBEAEEAKAB2AGEAbAB1AGUAcwA7AGcAcgBvAHUAcABzADsAWwBhAGQAagB1AHMAdABtAGUAbgB0AF0AOwBMAEUAVAAoAG4AXwBhAGwAbAA7AEEATgBaAEEASABMACgAdgBhAGwAdQBlAHMAKQA7AGcAcgBvAHUAcABfAG4AYQBtAGUAcwA7AEUASQBOAEQARQBVAFQASQBHACgAZwByAG8AdQBwAHMAKQA7AGsAXwBhAGwAbAA7AEEATgBaAEEASABMADIAKABnAHIAbwB1AHAAXwBuAGEAbQBlAHMAKQA7AG0AXwB0AHIAaQBhAG4AZwA7AE0AVABSAEkAQQBOAEcATABFACgAawBfAGEAbABsADsAOwAxACkAOwBnAHIAbwB1AHAAXwBpAGQAOwBTAEUAUQBVAEUATgBaACgAawBfAGEAbABsACkAOwBnAHIAcABfADEAOwBaAFUAUwBQAEEATABUAEUAKABtAF8AdAByAGkAYQBuAGcAKgBnAHIAbwB1AHAAXwBpAGQAKQA7AGcAcgBwAF8AMgA7AFoAVQBTAFAAQQBMAFQARQAoAG0AXwB0AHIAaQBhAG4AZwAqAE0AVABSAEEATgBTACgAZwByAG8AdQBwAF8AaQBkACkAKQA7AGcAMQBfAGkAZAA7AGYAaQBsAHQAZQByACgAZwByAHAAXwAxADsAZwByAHAAXwAxACkAOwBnADIAXwBpAGQAOwBmAGkAbAB0AGUAcgAoAGcAcgBwAF8AMgA7AGcAcgBwAF8AMgApADsAZwAxAF8AbgBhAG0AZQBzADsASQBOAEQARQBYACgAZwByAG8AdQBwAF8AbgBhAG0AZQBzADsAZwAxAF8AaQBkACkAOwBnADIAXwBuAGEAbQBlAHMAOwBJAE4ARABFAFgAKABnAHIAbwB1AHAAXwBuAGEAbQBlAHMAOwBnADIAXwBpAGQAKQA7AHAAXwB2AGEAbAB1AGUAcwA7AG0AYQBwACgAZwAxAF8AbgBhAG0AZQBzADsAZwAyAF8AbgBhAG0AZQBzADsATABBAE0AQgBEAEEAKABhAF8AdgA7AGIAXwB2ADsAVAAuAFQARQBTAFQAKABmAGkAbAB0AGUAcgAoAHYAYQBsAHUAZQBzADsAZwByAG8AdQBwAHMAPQBhAF8AdgApADsAZgBpAGwAdABlAHIAKAB2AGEAbAB1AGUAcwA7AGcAcgBvAHUAcABzAD0AYgBfAHYAKQA7ADIAOwAzACkAKQApADsAcABfAHYAYQBsAHUAZQBfAHIAYQB3ADsAdwBlAG4AbgAoAHAAXwB2AGEAbAB1AGUAcwA+ADAALgA1ADsAMQAtAHAAXwB2AGEAbAB1AGUAcwA7AHAAXwB2AGEAbAB1AGUAcwApADsAcABfAHMAdABhAHIAOwAyACoAVwBFAE4ATgBTACgAVwBVAFIARABFAEEAVQBTAEcARQBMAEEAUwBTAEUATgAoAGEAZABqAHUAcwB0AG0AZQBuAHQAKQA7AFAALgBBAEQASgAuAEIATwBOAEYARQBSAFIATwBOAEkAKABwAF8AdgBhAGwAdQBlAF8AcgBhAHcAOwBrAF8AYQBsAGwAKQA7AEsATABFAEkATgAoAGEAZABqAHUAcwB0AG0AZQBuAHQAKQA9AFwAIgBoAG8AbABtAFwAIgA7AFAALgBBAEQASgAuAEgATwBMAE0AKABwAF8AdgBhAGwAdQBlAF8AcgBhAHcAOwBrAF8AYQBsAGwAKQA7AEsATABFAEkATgAoAGEAZABqAHUAcwB0AG0AZQBuAHQAKQA9AFwAIgBiAG8AbgBmAGUAcgByAG8AbgBpAFwAIgA7AFAALgBBAEQASgAuAEIATwBOAEYARQBSAFIATwBOAEkAKABwAF8AdgBhAGwAdQBlAF8AcgBhAHcAOwBrAF8AYQBsAGwAKQA7AEsATABFAEkATgAoAGEAZABqAHUAcwB0AG0AZQBuAHQAKQA9AFwAIgBoAG8AYwBoAGIAZQByAGcAXAAiADsAUAAuAEEARABKAC4ASABPAEMASABCAEUAUgBHACgAcABfAHYAYQBsAHUAZQBfAHIAYQB3ADsAawBfAGEAbABsACkAOwBLAEwARQBJAE4AKABhAGQAagB1AHMAdABtAGUAbgB0ACkAPQBcACIAcwBpAGQAYQBrAFwAIgA7AFAALgBBAEQASgAuAFMASQBEAEEASwAoAHAAXwB2AGEAbAB1AGUAXwByAGEAdwA7AGsAXwBhAGwAbAApADsASwBMAEUASQBOACgAYQBkAGoAdQBzAHQAbQBlAG4AdAApAD0AXAAiAGgAbwBsAG0AcwBpAGQAYQBrAFwAIgA7AFAALgBBAEQASgAuAEgATwBMAE0AXwBTAEkARABBAEsAKABwAF8AdgBhAGwAdQBlAF8AcgBhAHcAOwBrAF8AYQBsAGwAKQA7AEsATABFAEkATgAoAGEAZABqAHUAcwB0AG0AZQBuAHQAKQA9AFwAIgBoAG8AbABtAC0AcwBpAGQAYQBrAFwAIgA7AFAALgBBAEQASgAuAEgATwBMAE0AXwBTAEkARABBAEsAKABwAF8AdgBhAGwAdQBlAF8AcgBhAHcAOwBrAF8AYQBsAGwAKQA7AEsATABFAEkATgAoAGEAZABqAHUAcwB0AG0AZQBuAHQAKQA9AFwAIgBoAG8AbABtAF8AcwBpAGQAYQBrAFwAIgA7AFAALgBBAEQASgAuAEgATwBMAE0AXwBTAEkARABBAEsAKABwAF8AdgBhAGwAdQBlAF8AcgBhAHcAOwBrAF8AYQBsAGwAKQA7AFcAQQBIAFIAOwBwAF8AdgBhAGwAdQBlAF8AcgBhAHcAKQA7AGgAcwB0AGEAcABlAGwAbgAoAGcAMQBfAG4AYQBtAGUAcwA7AGcAMgBfAG4AYQBtAGUAcwA7AHcAZQBuAG4AKABwAF8AcwB0AGEAcgA+ADEAOwAxADsAcABfAHMAdABhAHIAKQApACkAKQA7ADsAXABuAFQALgBUAEUAUwBUAC4AUwA9AEwAQQBNAEIARABBACgAcABfAHYAYQBsAHUAZQBzADsAcABfAGcAcgBvAHUAcABzADsAWwBhAGwAdABlAHIAbgBhAHQAaQB2AGUAXQA7AFsAcABhAGkAcgBlAGQAXQA7AEwARQBUACgAYQBiAF8AbgBhAG0AZQBzADsARQBJAE4ARABFAFUAVABJAEcAKABwAF8AZwByAG8AdQBwAHMAKQA7AHAAYQBpAHIAZQBkADsAVwBFAE4ATgAoAFcAVQBSAEQARQBBAFUAUwBHAEUATABBAFMAUwBFAE4AKABwAGEAaQByAGUAZAApADsAMwA7AHcAZQBuAG4AKABwAGEAaQByAGUAZAA7ADEAOwAzACkAKQA7AGEAbAB0AGUAcgBuAGEAdABpAHYAZQA7AFcARQBOAE4AKABXAFUAUgBEAEUAQQBVAFMARwBFAEwAQQBTAFMARQBOACgAYQBsAHQAZQByAG4AYQB0AGkAdgBlACkAOwBcACIAdABcACIAOwBQAFIARQBQAC4AQQBMAFQARQBSAE4AQQBUAEkAVgBFACgAYQBsAHQAZQByAG4AYQB0AGkAdgBlACkAKQA7AGEAbAB0AFYAOwAxACsAKABhAGwAdABlAHIAbgBhAHQAaQB2AGUAPQBcACIAdABcACIAKQA7AGEAbAB0AE8AOwBhAGwAdABlAHIAbgBhAHQAaQB2AGUAPQBcACIAZwBcACIAOwBnAF8AMQA7AFoARQBJAEwARQBOAFcAQQBIAEwAKABhAGIAXwBuAGEAbQBlAHMAOwAxACkAOwBnAF8AMgA7AFoARQBJAEwARQBOAFcAQQBIAEwAKABhAGIAXwBuAGEAbQBlAHMAOwAyACkAOwBwAF8AdgA7AFcARQBOAE4AKABBAE4AWgBBAEgATAAyACgAYQBiAF8AbgBhAG0AZQBzACkAPQAyADsAVAAuAFQARQBTAFQAKABGAEkATABUAEUAUgAoAHAAXwB2AGEAbAB1AGUAcwA7AHAAXwBnAHIAbwB1AHAAcwA9AGcAXwAxACkAOwBGAEkATABUAEUAUgAoAHAAXwB2AGEAbAB1AGUAcwA7AHAAXwBnAHIAbwB1AHAAcwA9AGcAXwAyACkAOwBhAGwAdABWADsAcABhAGkAcgBlAGQAKQA7ACMAVwBFAFIAVAAhACkAOwBtAHcAXwAxADsATQBJAFQAVABFAEwAVwBFAFIAVAAoAEYASQBMAFQARQBSACgAcABfAHYAYQBsAHUAZQBzADsAcABfAGcAcgBvAHUAcABzAD0AZwBfADEAKQApADsAbQB3AF8AMgA7AE0ASQBUAFQARQBMAFcARQBSAFQAKABGAEkATABUAEUAUgAoAHAAXwB2AGEAbAB1AGUAcwA7AHAAXwBnAHIAbwB1AHAAcwA9AGcAXwAyACkAKQA7AFcARQBOAE4AKABPAEQARQBSACgAVQBOAEQAKABhAGwAdABPADsAbQB3AF8AMQA+AG0AdwBfADIAKQA7AFUATgBEACgAYQBsAHQAZQByAG4AYQB0AGkAdgBlAD0AXAAiAGwAXAAiADsAbQB3AF8AMQA8AG0AdwBfADIAKQApADsAMQAtAHAAXwB2ADsAcABfAHYAKQApACkAOwA7AFwAbgBXAEkATABDAE8AWABPAE4ALgBUAEUAUwBUAD0ATABBAE0AQgBEAEEAKABwAF8AdgBhAGwAdQBlAHMAOwBwAF8AZwByAG8AdQBwAHMAOwBbAGEAbAB0AGUAcgBuAGEAdABpAHYAZQBdADsAWwBwAGEAaQByAGUAZABdADsAWwBjAG8AcgByAGUAYwB0AF0AOwBMAEUAVAAoAGEAbAB0AGUAcgBuAGEAdABpAHYAZQA7AHcAZQBuAG4AKABXAFUAUgBEAEUAQQBVAFMARwBFAEwAQQBTAFMARQBOACgAYQBsAHQAZQByAG4AYQB0AGkAdgBlACkAOwBcACIAdABcACIAOwBQAFIARQBQAC4AQQBMAFQARQBSAE4AQQBUAEkAVgBFACgAYQBsAHQAZQByAG4AYQB0AGkAdgBlACkAKQA7AGMAbwByAHIAZQBjAHQAOwB3AGUAbgBuACgAVwBVAFIARABFAEEAVQBTAEcARQBMAEEAUwBTAEUATgAoAGMAbwByAHIAZQBjAHQAKQA7AFcAQQBIAFIAOwBjAG8AcgByAGUAYwB0ACkAOwBwAGEAaQByAGUAZAA7AFcARQBOAE4AKABXAFUAUgBEAEUAQQBVAFMARwBFAEwAQQBTAFMARQBOACgAcABhAGkAcgBlAGQAKQA7AEYAQQBMAFMAQwBIADsAcABhAGkAcgBlAGQAKQA7AGEAYgBfAG4AYQBtAGUAcwA7AEUASQBOAEQARQBVAFQASQBHACgAcABfAGcAcgBvAHUAcABzACkAOwBhAGIAXwBuADsAQQBOAFoAQQBIAEwAMgAoAGEAYgBfAG4AYQBtAGUAcwApADsAbgBfAGEAYgA7AEcAUgBPAFUAUAAuAEMATwBVAE4AVAAoAHAAXwBnAHIAbwB1AHAAcwApADsAdwBlAG4AbgAoAFUATgBEACgAYQBiAF8AbgA9ADIAOwBuAF8AYQBiAD4AMQA7AE8ARABFAFIAKABOAEkAQwBIAFQAKABwAGEAaQByAGUAZAApADsASQBTAC4AQQBMAEwALgBFAFEAVQBBAEwAKABuAF8AYQBiACkAKQApADsATABFAFQAKAByAGEAbgBrADsAUgBBAE4ARwAuAE0ASQBUAFQARQBMAFcAKABwAF8AdgBhAGwAdQBlAHMAOwBwAF8AdgBhAGwAdQBlAHMAKQA7AFMAVABBAFQASQBTAFQASQBDADsATQBJAE4AKABHAFIATwBVAFAALgBTAFUATQAoAHIAYQBuAGsAOwBwAF8AZwByAG8AdQBwAHMAKQAtAG4AXwBhAGIAKgAoAG4AXwBhAGIAKwAxACkALwAyACkAOwBwAHIAbwBkAF8AYQBiADsAUABSAE8ARABVAEsAVAAoAG4AXwBhAGIAKQA7AHMAdQBtAF8AYQBiADsAUwBVAE0ATQBFACgAbgBfAGEAYgApADsAegBfAHYAYQBsAHUAZQA7AFMAVABBAFQASQBTAFQASQBDAC0AcAByAG8AZABfAGEAYgAvADIAOwBjAG8AcgByAGUAYwB0AFQAaQBlAHMAOwAoAEEATgBaAEEASABMACgARQBJAE4ARABFAFUAVABJAEcAKAByAGEAbgBrACkAKQA8AEEATgBaAEEASABMACgAcgBhAG4AawApACkAKgBMAEUAVAAoAE4AVABJAEUAUwA7AFMAVABBAFQALgBUAEEAQgBMAEUAKAByAGEAbgBrACkAOwBTAFUATQBNAEUAKABOAFQASQBFAFMAXgAzAC0ATgBUAEkARQBTACkALwAoAHMAdQBtAF8AYQBiACoAKABzAHUAbQBfAGEAYgAtADEAKQApACkAOwBTAEkARwBNAEEAOwBXAFUAUgBaAEUATAAoACgAcAByAG8AZABfAGEAYgAqACgAKABzAHUAbQBfAGEAYgArADEAKQAtAGMAbwByAHIAZQBjAHQAVABpAGUAcwApACkALwAxADIAKQA7AGMAbwByAHIAZQBjAHQAaQBvAG4AXwB2AGEAbAB1AGUAOwBjAG8AcgByAGUAYwB0ACoARQBSAFMAVABFAFIAVwBFAFIAVAAoAGEAbAB0AGUAcgBuAGEAdABpAHYAZQA7AFwAIgB0AFwAIgA7AFMAVABBAFQALgBTAEkARwBOACgAegBfAHYAYQBsAHUAZQApACoAMAAuADUAOwBcACIAbABcACIAOwAtADAALgA1ADsAXAAiAGcAXAAiADsAMAAuADUAOwApADsAWgBWAEEATAA7ACgAegBfAHYAYQBsAHUAZQAtAGMAbwByAHIAZQBjAHQAaQBvAG4AXwB2AGEAbAB1AGUAKQAvAFMASQBHAE0AQQA7AFAAVgBBAEwAOwBTAFQAQQBUAC4AQwBPAFIAUgBFAEMAVAAuAFAAVgBBAEwAVQBFACgATgBPAFIATQAuAFYARQBSAFQAKABaAFYAQQBMADsAMAA7ADEAOwBXAEEASABSACkAKQA7AFYAUwBUAEEAUABFAEwATgAoAEgAUwBUAEEAUABFAEwATgAoAFwAIgBTAHQAYQB0AGkAcwB0AGkAawBcACIAOwBcACIAWgAtAFcAZQByAHQAXAAiADsAXAAiAHAALQBXAGUAcgB0AFwAIgA7AFwAIgBBAGwAdABlAHIAbgBhAHQAaQB2AGUAXAAiACkAOwBIAFMAVABBAFAARQBMAE4AKABTAFQAQQBUAEkAUwBUAEkAQwA7AFoAVgBBAEwAOwBQAFYAQQBMADsAVABFAFgAVABWAEUAUgBLAEUAVABUAEUATgAoAGUAcgBzAHQAZQByAHcAZQByAHQAKABhAGwAdABlAHIAbgBhAHQAaQB2AGUAOwBcACIAdABcACIAOwBcACIAPAA+AFwAIgA7AFwAIgBsAFwAIgA7AFwAIgA8AFwAIgA7AFwAIgBnAFwAIgA7AFwAIgA+AFwAIgApADsAOwBhAGIAXwBuAGEAbQBlAHMAKQApACkAKQA7ACMAVwBFAFIAVAAhACkAKQApADsAOwBcAG4AVgBMAEUATgBHAFQASAA9AEwAQQBNAEIARABBACgAdgBlAGMAdABvAHIAOwBMAEUAVAAoAGMAbwBsAHMAOwBTAFAAQQBMAFQARQBOACgAdgBlAGMAdABvAHIAKQA7AGwAZQBuAGcAdABoADsASQBTAC4AVgBFAEMAVABPAFIAKAB2AGUAYwB0AG8AcgApACoAKABjAG8AbABzACoAKABjAG8AbABzADwAPgAxACkAKwBaAEUASQBMAEUATgAoAHYAZQBjAHQAbwByACkAKgAoAGMAbwBsAHMAPQAxACkAKQA7AHcAZQBuAG4AKABsAGUAbgBnAHQAaAA7AGwAZQBuAGcAdABoADsAIwBXAEUAUgBUACEAKQApACkAOwA7AFwAbgBWAFIARQBQAEUAQQBUAD0ATABBAE0AQgBEAEEAKAB2AGEAbAB1AGUAOwBuAF8AdABpAG0AZQBzADsAVwBFAE4ATgAoAFUATgBEACgAQQBOAFoAQQBIAEwAMgAoAHYAYQBsAHUAZQApAD0AMQA7AEEATgBaAEEASABMACgAbgBfAHQAaQBtAGUAcwApAD0AMQA7AG4AXwB0AGkAbQBlAHMAPgAwACkAOwBXAEUATgBOACgASQBTAFQAWgBBAEgATAAoAHYAYQBsAHUAZQApACsASQBTAFQATABPAEcAKAB2AGEAbAB1AGUAKQA7AFMARQBRAFUARQBOAFoAKABuAF8AdABpAG0AZQBzADsAMQA7AHYAYQBsAHUAZQA7ADAAKQA7AFcARQBOAE4AKABTAEUAUQBVAEUATgBaACgAbgBfAHQAaQBtAGUAcwApADsAdgBhAGwAdQBlACkAKQA7ACMAVwBFAFIAVAAhACkAKQA7ADsAXABuAFMAVABBAFQALgBEAEUAUwBLAFIASQBQAFQASQBWAD0AUwBUAEEAVAAuAEQARQBTAEMAUgBJAEIARQA7ADsAUwBUAEEAVAAuAEQARQBTAEsAUgBJAFAAVABJAFYALgBNAEUAUgBLAE0AQQBMAEUAPQBTAFQAQQBUAC4ARABFAFMAQwBSAEkAQgBFAC4ATgBPAE0ASQBOAEEATAA7ADsAUwBUAEEAVAAuAEQARQBTAEsAUgBJAFAAVABJAFYALgBGAEEASwBUAE8AUgBTAFQAVQBGAEUATgA9AFMAVABBAFQALgBEAEUAUwBDAFIASQBCAEUALgBOAE8ATQBJAE4AQQBMADsAOwBTAFQAQQBUAC4ARABFAFMASwBSAEkAUABUAEkAVgAuAE4ATwBNAEkATgBBAEwAPQBTAFQAQQBUAC4ARABFAFMAQwBSAEkAQgBFAC4ATgBPAE0ASQBOAEEATAA7ADsAUwBUAEEAVAAuAEQARQBTAEsAUgBJAFAAVABJAFYALgBCAEUAUwBDAEgAUgBJAEYAVABVAE4ARwA9AFMAVABBAFQALgBEAEUAUwBDAFIASQBCAEUALgBMAEEAQgBFAEwAUwA7ADsAUwBUAEEAVAAuAFQAQQBCAEUATABMAEUAPQBTAFQAQQBUAC4AVABBAEIATABFADsAOwBTAFQAQQBUAC4AVABBAEIARQBMAEwARQAuAFIARQBMAEEAVABJAFYAPQBTAFQAQQBUAC4AVABBAEIATABFAC4AUgBFAEwAQQBUAEkAVgBFADsAOwBTAFQAQQBUAC4ASQBRAEEAPQBTAFQAQQBUAC4ASQBRAFIAOwA7AFMAVABBAFQALgBNAEEARAA9AFMAVABBAFQALgBNAEEARAA7ADsAUwBUAEEAVAAuAEcARQBCAFUATgBEAEUATgBFAC4AVgBBAFIASQBBAE4AWgA9AFMAVABBAFQALgBQAE8ATwBMAEUARAAuAFYAQQBSAEkAQQBOAEMARQA7ADsAUwBUAEEAVAAuAEcARQBQAE8ATwBMAFQARQAuAFYAQQBSAEkAQQBOAFoAPQBTAFQAQQBUAC4AUABPAE8ATABFAEQALgBWAEEAUgBJAEEATgBDAEUAOwA7AFMAVABBAFQALgBTAFQAQQBOAEQAQQBSAEQARgBFAEgATABFAFIAPQBTAFQAQQBUAC4AUwBFADsAOwBTAFQAQQBUAC4AUwBUAEQARgBFAEgATABFAFIAPQBTAFQAQQBUAC4AUwBFADsAOwBTAFQAQQBUAC4AVgBPAFIAWgBFAEkAQwBIAEUATgA9AFMAVABBAFQALgBTAEkARwBOADsAOwBLAE8AUgBSAEUATAAuAEMAUgBBAE0ARQBSAD0AQwBPAFIAUgAuAEMAUgBBAE0ARQBSADsAOwBLAE8AUgBSAEUATAAuAEsARQBOAEQAQQBMAD0AQwBPAFIAUgAuAEsARQBOAEQAQQBMADsAOwBLAE8AUgBSAEUATAAuAFMAUABFAEEAUgBNAEEATgA9AEMATwBSAFIALgBTAFAARQBBAFIATQBBAE4AOwA7AEsATwBSAFIARQBMAC4AUABFAEEAUgBTAE8ATgA9AEMATwBSAFIALgBQAEUAQQBSAFMATwBOADsAOwBSAEUARwBSAEUAUwBTAEkATwBOAC4AUgBFAFMASQBEAFUARQBOAD0AUgBFAEcAUgBFAFMAUwBJAE8ATgAuAFIARQBTAEkARABVAEEATABTADsAOwBQAEEAQQBSAFcARQBJAFMARQBSAC4AVAAuAFQARQBTAFQAPQBQAEEASQBSAFcASQBTAEUALgBUAC4AVABFAFMAVAA7ADsAUABBAEEAUgBXAEUASQBTAEUAUgAuAEEAQgAuAFQARQBTAFQAPQBQAEEASQBSAFcASQBTAEUALgBUAC4AVABFAFMAVAA7ADsAQQBCAC4AVABFAFMAVAA9AFQALgBUAEUAUwBUAC4AUwA7ADsAUwBQAEEATABUAEUATgBTAFUATQBNAEUAPQBDAE8ATABTAFUATQA7ADsAWgBFAEkATABFAE4AUwBVAE0ATQBFAD0AUgBPAFcAUwBVAE0AOwA7AEsAVQBNAFUATABBAFQASQBWAEUAUwBVAE0ATQBFAD0AQwBVAE0AUwBVAE0AOwA7AEcAUgBVAFAAUABFAE4ALgBTAFUATQBNAEUAPQBHAFIATwBVAFAALgBTAFUATQA7ADsARwBSAFUAUABQAEUATgAuAEEATgBaAEEASABMAD0ARwBSAE8AVQBQAC4AQwBPAFUATgBUADsAOwBHAFIAVQBQAFAARQBOAC4ATgA9AEcAUgBPAFUAUAAuAEMATwBVAE4AVAA7ADsARwBSAFUAUABQAEUATgAuAE0ASQBUAFQARQBMAFcARQBSAFQAPQBHAFIATwBVAFAALgBNAEUAQQBOADsAOwBHAFIAVQBQAFAARQBOAC4ATQBFAEQASQBBAE4APQBHAFIATwBVAFAALgBNAEUARABJAEEATgA7ADsARwBSAFUAUABQAEUATgAuAE0ASQBOAD0ARwBSAE8AVQBQAC4ATQBJAE4AOwA7AEcAUgBVAFAAUABFAE4ALgBNAEEAWAA9AEcAUgBPAFUAUAAuAE0AQQBYADsAOwBHAFIAVQBQAFAARQBOAC4AUwBUAEQAQQBCAFcAPQBHAFIATwBVAFAALgBTAEQAOwA7AEcAUgBVAFAAUABFAE4ALgBTAEQAPQBHAFIATwBVAFAALgBTAEQAOwA7AEcAUgBVAFAAUABFAE4ALgBTAEUAPQBHAFIATwBVAFAALgBTAEUAOwA7AEcAUgBVAFAAUABFAE4ALgBTAFQAQQBOAEQAQQBSAEQARgBFAEgATABFAFIAPQBHAFIATwBVAFAALgBTAEUAOwA7AEcAUgBVAFAAUABFAE4ALgBTAFQARABGAEUASABMAEUAUgA9AEcAUgBPAFUAUAAuAFMARQA7ADsARwBSAFUAUABQAEUATgAuAE0AQQBEAD0ARwBSAE8AVQBQAC4ATQBBAEQAOwA7AEcAUgBVAFAAUABFAE4ALgBJAFEAQQA9AEcAUgBPAFUAUAAuAEkAUQBSADsAOwBJAFMAVAAuAFYARQBLAFQATwBSAD0ASQBTAC4AVgBFAEMAVABPAFIAOwA7AFMASQBOAEQALgBBAEwATABFAC4ARwBMAEUASQBDAEgAPQBJAFMALgBBAEwATAAuAEUAUQBVAEEATAA7ADsASQBTAFQALgBBAEwATABFAC4ARwBMAEUASQBDAEgAPQBJAFMALgBBAEwATAAuAEUAUQBVAEEATAA7ADsAVgBFAEsAVABPAFIALgBMAMQATgBHAEUAPQBWAEwARQBOAEcAVABIADsAOwBNAEQASQBNAEUATgBTAEkATwBOAD0ATQBEAEkATQA7ADsATQBTAFAAVQBSAD0ATQBUAFIAQQBDAEUAOwA7AEgAVwBJAEUARABFAFIASABPAEwARQBOAD0ASABSAEUAUABFAEEAVAA7ADsAVgBXAEkARQBEAEUAUgBIAE8ATABFAE4APQBWAFIARQBQAEUAQQBUADsAOwBNAEQAUgBFAEkARQBDAEsAPQBNAFQAUgBJAEEATgBHAEwARQA7ADsAWgBVAEYAQQBMAEwAUwBNAEEAVABSAEkAWAAuAE4ATwBSAE0AQQBMAD0AUgBBAE4ARABPAE0ALgBOAE8AUgBNADsAOwBTAEUAUQBVAEUATgBaAC4ASQBOAFQARQBSAFYAQQBMAEwAPQBTAEUAUQBVAEUATgBDAEUALgBSAEEATgBHAEUAOwA7AFQAQQBCAEUATABMAEUATgAuAEEAVQBTAFcAQQBIAEwAPQBUAEEAQgBMAEUALgBTAEUATABFAEMAVAA7ADsAVQBOAEcA3ABMAFQASQBHAEUALgBMANYAUwBDAEgARQBOAD0AUgBFAE0ATwBWAEUALgBJAE4AVgBBAEwASQBEADsAOwBFAE4AVABGAEUAUgBOAEUALgBGAEUASABMAEUAUgA9AFIARQBNAE8AVgBFAC4ASQBOAFYAQQBMAEkARAA7ADsAUwBDAEgATgBFAEwATAAuAEsATwBEAEkARQBSAEUATgA9AFEAVQBJAEMASwAuAEMATwBEAEUAOwA7AE8ATgBFAC4ASABPAFQAPQBEAFUATQBNAFkALgBDAE8ARABJAE4ARwA7ADsATwBOAEUALgBIAE8AVAAuAEMATwBEAEkATgBHAD0ARABVAE0ATQBZAC4AQwBPAEQASQBOAEcAOwA7AFwAbgAiAH0AXQAsACIAcAByAG8AagBlAGMAdABOAGEAbQBlAHMAIgA6AFsAIgBDAE8ATABTAFUATQAiACwAIgBDAE8AUgBSAC4AQwBSAEEATQBFAFIAIgAsACIAQwBPAFIAUgAuAEsARQBOAEQAQQBMACIALAAiAEMATwBSAFIALgBQAEUAQQBSAFMATwBOACIALAAiAEMATwBSAFIALgBTAFAARQBBAFIATQBBAE4AIgAsACIAQwBVAE0AUwBVAE0AIgAsACIARABVAE0ATQBZAC4AQwBPAEQASQBOAEcAIgAsACIARwBSAE8AVQBQAC4AQwBPAFUATgBUACIALAAiAEcAUgBPAFUAUAAuAEkAUQBSACIALAAiAEcAUgBPAFUAUAAuAE0AQQBEACIALAAiAEcAUgBPAFUAUAAuAE0AQQBYACIALAAiAEcAUgBPAFUAUAAuAE0ARQBBAE4AIgAsACIARwBSAE8AVQBQAC4ATQBFAEQASQBBAE4AIgAsACIARwBSAE8AVQBQAC4ATQBJAE4AIgAsACIARwBSAE8AVQBQAC4AUwBEACIALAAiAEcAUgBPAFUAUAAuAFMAVQBNACIALAAiAEgAUgBFAFAARQBBAFQAIgAsACIASQBTAC4AQQBMAEwALgBFAFEAVQBBAEwAIgAsACIASQBTAC4AVgBFAEMAVABPAFIAIgAsACIATQBEAEkATQAiACwAIgBNAFQAUgBBAEMARQAiACwAIgBNAFQAUgBJAEEATgBHAEwARQAiACwAIgBQAFEALgBSAEUATgBBAE0ARQAuAEgARQBMAFAARQBSACIALAAiAFAAUgBFAFAALgBBAEwAVABFAFIATgBBAFQASQBWAEUAIgAsACIAUQBVAEkAQwBLAC4AQwBPAEQARQAiACwAIgBSAEEATgBEAE8ATQAuAE4ATwBSAE0AIgAsACIAUgBFAEcAUgBFAFMAUwBJAE8ATgAuAFIARQBTAEkARABVAEEATABTACIALAAiAFIARQBHAFIARQBTAFMASQBPAE4AIgAsACIAUgBFAE0ATwBWAEUALgBJAE4AVgBBAEwASQBEACIALAAiAFIATwBXAFMAVQBNACIALAAiAFMAQwBIAEUATQBBAC4AQwBIAE8ATwBTAEUAIgAsACIAUwBFAFEAVQBFAE4AQwBFAC4AUgBBAE4ARwBFACIALAAiAFMAVABBAFQALgBDAE8AUgBSAEUAQwBUAC4AUABWAEEATABVAEUAIgAsACIAUwBUAEEAVAAuAEQARQBTAEMAUgBJAEIARQAuAEwAQQBCAEUATABTACIALAAiAFMAVABBAFQALgBEAEUAUwBDAFIASQBCAEUAIgAsACIAUwBUAEEAVAAuAEkAUQBSACIALAAiAFMAVABBAFQALgBNAEEARAAiACwAIgBTAFQAQQBUAC4AUABPAE8ATABFAEQALgBWAEEAUgBJAEEATgBDAEUAIgAsACIAUAAuAEEARABKAC4AQgBPAE4ARgBFAFIAUgBPAE4ASQAiACwAIgBQAC4AQQBEAEoALgBIAE8ATABNACIALAAiAFAALgBBAEQASgAuAFMASQBEAEEASwAiACwAIgBQAC4AQQBEAEoALgBIAE8ATABNAF8AUwBJAEQAQQBLACIALAAiAFAALgBBAEQASgAuAEgATwBDAEgAQgBFAFIARwAiACwAIgBTAFQAQQBUAC4AUwBFACIALAAiAFMAVABBAFQALgBTAFQARAAuAEUAUgBSAE8AUgAiACwAIgBTAFQAQQBUAC4AUwBJAEcATgAiACwAIgBTAFQAQQBUAC4ARABFAFMAQwBSAEkAQgBFAC4ATgBPAE0ASQBOAEEATAAiACwAIgBTAFQAQQBUAC4AVABBAEIATABFAC4AUgBFAEwAQQBUAEkAVgBFACIALAAiAFMAVABBAFQALgBUAEEAQgBMAEUAIgAsACIAVABBAEIATABFAC4AUwBFAEwARQBDAFQAIgAsACIAQQBOAE8AVgBBAC4AVABFAFMAVAAiACwAIgBDAEgASQBRAFUALgBUAEUAUwBUAC4AUwAiACwAIgBDAEgASQBRAFUALgBUAEUAUwBUADIAIgAsACIAQwBIAEkAUQBVAC4AVABFAFMAVAAyAC4ASABFAEEARABFAFIAIgAsACIAQwBIAEkAUQBVAC4AVABFAFMAVAAuAFgAIgAsACIARABVAE4ATgAuAFQARQBTAFQAIgAsACIARgAuAFQARQBTAFQALgBTACIALAAiAEsAUgBVAFMASwBBAEwAXwBXAEEATABMAEkAUwAuAFQARQBTAFQAIgAsACIAUABBAEkAUgBXAEkAUwBFAC4ARgAuAFQARQBTAFQAIgAsACIAUABBAEkAUgBXAEkAUwBFAC4AVAAuAFQARQBTAFQAIgAsACIAVAAuAFQARQBTAFQALgBTACIALAAiAFcASQBMAEMATwBYAE8ATgAuAFQARQBTAFQAIgAsACIAVgBMAEUATgBHAFQASAAiACwAIgBWAFIARQBQAEUAQQBUACIALAAiAFMAVABBAFQALgBEAEUAUwBLAFIASQBQAFQASQBWACIALAAiAFMAVABBAFQALgBEAEUAUwBLAFIASQBQAFQASQBWAC4ATQBFAFIASwBNAEEATABFACIALAAiAFMAVABBAFQALgBEAEUAUwBLAFIASQBQAFQASQBWAC4ARgBBAEsAVABPAFIAUwBUAFUARgBFAE4AIgAsACIAUwBUAEEAVAAuAEQARQBTAEsAUgBJAFAAVABJAFYALgBOAE8ATQBJAE4AQQBMACIALAAiAFMAVABBAFQALgBEAEUAUwBLAFIASQBQAFQASQBWAC4AQgBFAFMAQwBIAFIASQBGAFQAVQBOAEcAIgAsACIAUwBUAEEAVAAuAFQAQQBCAEUATABMAEUAIgAsACIAUwBUAEEAVAAuAFQAQQBCAEUATABMAEUALgBSAEUATABBAFQASQBWACIALAAiAFMAVABBAFQALgBJAFEAQQAiACwAIgBTAFQAQQBUAC4ARwBFAEIAVQBOAEQARQBOAEUALgBWAEEAUgBJAEEATgBaACIALAAiAFMAVABBAFQALgBHAEUAUABPAE8ATABUAEUALgBWAEEAUgBJAEEATgBaACIALAAiAFMAVABBAFQALgBTAFQAQQBOAEQAQQBSAEQARgBFAEgATABFAFIAIgAsACIAUwBUAEEAVAAuAFMAVABEAEYARQBIAEwARQBSACIALAAiAFMAVABBAFQALgBWAE8AUgBaAEUASQBDAEgARQBOACIALAAiAEsATwBSAFIARQBMAC4AQwBSAEEATQBFAFIAIgAsACIASwBPAFIAUgBFAEwALgBLAEUATgBEAEEATAAiACwAIgBLAE8AUgBSAEUATAAuAFMAUABFAEEAUgBNAEEATgAiACwAIgBLAE8AUgBSAEUATAAuAFAARQBBAFIAUwBPAE4AIgAsACIAUgBFAEcAUgBFAFMAUwBJAE8ATgAuAFIARQBTAEkARABVAEUATgAiACwAIgBQAEEAQQBSAFcARQBJAFMARQBSAC4AVAAuAFQARQBTAFQAIgAsACIAUABBAEEAUgBXAEUASQBTAEUAUgAuAEEAQgAuAFQARQBTAFQAIgAsACIAQQBCAC4AVABFAFMAVAAiACwAIgBTAFAAQQBMAFQARQBOAFMAVQBNAE0ARQAiACwAIgBaAEUASQBMAEUATgBTAFUATQBNAEUAIgAsACIASwBVAE0AVQBMAEEAVABJAFYARQBTAFUATQBNAEUAIgAsACIARwBSAFUAUABQAEUATgAuAFMAVQBNAE0ARQAiACwAIgBHAFIAVQBQAFAARQBOAC4AQQBOAFoAQQBIAEwAIgAsACIARwBSAFUAUABQAEUATgAuAE4AIgAsACIARwBSAFUAUABQAEUATgAuAE0ASQBUAFQARQBMAFcARQBSAFQAIgAsACIARwBSAFUAUABQAEUATgAuAE0ARQBEAEkAQQBOACIALAAiAEcAUgBVAFAAUABFAE4ALgBNAEkATgAiACwAIgBHAFIAVQBQAFAARQBOAC4ATQBBAFgAIgAsACIARwBSAFUAUABQAEUATgAuAFMAVABEAEEAQgBXACIALAAiAEcAUgBVAFAAUABFAE4ALgBTAEQAIgAsACIARwBSAFUAUABQAEUATgAuAFMARQAiACwAIgBHAFIAVQBQAFAARQBOAC4AUwBUAEEATgBEAEEAUgBEAEYARQBIAEwARQBSACIALAAiAEcAUgBVAFAAUABFAE4ALgBTAFQARABGAEUASABMAEUAUgAiACwAIgBHAFIAVQBQAFAARQBOAC4ATQBBAEQAIgAsACIARwBSAFUAUABQAEUATgAuAEkAUQBBACIALAAiAEkAUwBUAC4AVgBFAEsAVABPAFIAIgAsACIAUwBJAE4ARAAuAEEATABMAEUALgBHAEwARQBJAEMASAAiACwAIgBJAFMAVAAuAEEATABMAEUALgBHAEwARQBJAEMASAAiACwAIgBWAEUASwBUAE8AUgAuAEwAxABOAEcARQAiACwAIgBNAEQASQBNAEUATgBTAEkATwBOACIALAAiAE0AUwBQAFUAUgAiACwAIgBIAFcASQBFAEQARQBSAEgATwBMAEUATgAiACwAIgBWAFcASQBFAEQARQBSAEgATwBMAEUATgAiACwAIgBNAEQAUgBFAEkARQBDAEsAIgAsACIAWgBVAEYAQQBMAEwAUwBNAEEAVABSAEkAWAAuAE4ATwBSAE0AQQBMACIALAAiAFMARQBRAFUARQBOAFoALgBJAE4AVABFAFIAVgBBAEwATAAiACwAIgBUAEEAQgBFAEwATABFAE4ALgBBAFUAUwBXAEEASABMACIALAAiAFUATgBHANwATABUAEkARwBFAC4ATADWAFMAQwBIAEUATgAiACwAIgBFAE4AVABGAEUAUgBOAEUALgBGAEUASABMAEUAUgAiACwAIgBTAEMASABOAEUATABMAC4ASwBPAEQASQBFAFIARQBOACIALAAiAE8ATgBFAC4ASABPAFQAIgAsACIATwBOAEUALgBIAE8AVAAuAEMATwBEAEkATgBHACIAXQAsACIAbABvAGMAYQBsAGUAIgA6AHsAIgBsAGkAcwB0AFMAZQBwAGEAcgBhAHQAbwByACIAOgAiADsAIgAsACIAcgBvAHcAUwBlAHAAYQByAGEAdABvAHIAIgA6ACIAOwAiACwAIgBjAG8AbAB1AG0AbgBTAGUAcABhAHIAYQB0AG8AcgAiADoAIgBcAFwAIgAsACIAdABoAG8AdQBzAGEAbgBkAHMAUwBlAHAAYQByAGEAdABvAHIAIgA6ACIAGSAiACwAIgB0AGgAbwB1AHMAYQBuAGQAcwBQAG8AcwBpAHQAaQBvAG4AcwAiADoAWwAzAF0ALAAiAGQAZQBjAGkAbQBhAGwAUwBlAHAAYQByAGEAdABvAHIAIgA6ACIALgAiACwAIgBkAGEAdABlAE8AcgBkAGUAcgAiADoAIgBEAE0AWQAiACwAIgBjAHUAcgByAGUAbgBjAHkAUwB5AG0AYgBvAGwAIgA6ACIAQwBIAEYAIgAsACIAaQBzAEMAdQByAHIAZQBuAGMAeQBTAHkAbQBiAG8AbABMAGUAYQBkACIAOgB0AHIAdQBlACwAIgBpAHMAQwB1AHIAcgBlAG4AYwB5AFMAZQBwAEIAeQBTAHAAYQBjAGUAIgA6AHQAcgB1AGUALAAiAHIAbwB3AEwAZQB0AHQAZQByACIAOgAiAFoAIgAsACIAYwBvAGwAdQBtAG4ATABlAHQAdABlAHIAIgA6ACIAUwAiACwAIgByAGMATABlAGYAdABCAHIAYQBjAGsAZQB0ACIAOgAiACgAIgAsACIAcgBjAFIAaQBnAGgAdABCAHIAYQBjAGsAZQB0ACIAOgAiACkAIgAsACIAcwB0AGEAdABlAG0AZQBuAHQAUwBlAHAAYQByAGEAdABvAHIAIgA6ACIAOwA7ACIALAAiAGwAbwBjAGEAbABlAE4AYQBtAGUAIgA6ACIAZABlAC0AZABlACIAfQB9AA==</AFEJSONBlob>
</file>

<file path=customXml/itemProps1.xml><?xml version="1.0" encoding="utf-8"?>
<ds:datastoreItem xmlns:ds="http://schemas.openxmlformats.org/officeDocument/2006/customXml" ds:itemID="{3E6A4668-80C8-C641-B422-6ED5D0FC0572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Glahn Christian (glah)</dc:creator>
  <cp:lastModifiedBy>Glahn Christian (glah)</cp:lastModifiedBy>
  <dcterms:created xsi:type="dcterms:W3CDTF">2024-05-03T12:39:42Z</dcterms:created>
  <dcterms:modified xsi:type="dcterms:W3CDTF">2025-04-15T19:17:07Z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9bb7c8b-3fd4-4dea-b697-0f2931e84efa_Enabled">
    <vt:lpwstr>true</vt:lpwstr>
  </property>
  <property fmtid="{D5CDD505-2E9C-101B-9397-08002B2CF9AE}" pid="3" name="MSIP_Label_29bb7c8b-3fd4-4dea-b697-0f2931e84efa_SetDate">
    <vt:lpwstr>2024-06-16T05:55:07Z</vt:lpwstr>
  </property>
  <property fmtid="{D5CDD505-2E9C-101B-9397-08002B2CF9AE}" pid="4" name="MSIP_Label_29bb7c8b-3fd4-4dea-b697-0f2931e84efa_Method">
    <vt:lpwstr>Privileged</vt:lpwstr>
  </property>
  <property fmtid="{D5CDD505-2E9C-101B-9397-08002B2CF9AE}" pid="5" name="MSIP_Label_29bb7c8b-3fd4-4dea-b697-0f2931e84efa_Name">
    <vt:lpwstr>29bb7c8b-3fd4-4dea-b697-0f2931e84efa</vt:lpwstr>
  </property>
  <property fmtid="{D5CDD505-2E9C-101B-9397-08002B2CF9AE}" pid="6" name="MSIP_Label_29bb7c8b-3fd4-4dea-b697-0f2931e84efa_SiteId">
    <vt:lpwstr>5d1a9f9d-201f-4a10-b983-451cf65cbc1e</vt:lpwstr>
  </property>
  <property fmtid="{D5CDD505-2E9C-101B-9397-08002B2CF9AE}" pid="7" name="MSIP_Label_29bb7c8b-3fd4-4dea-b697-0f2931e84efa_ActionId">
    <vt:lpwstr>0dc0f813-0f39-4a3c-a9cd-71ec3d6807eb</vt:lpwstr>
  </property>
  <property fmtid="{D5CDD505-2E9C-101B-9397-08002B2CF9AE}" pid="8" name="MSIP_Label_29bb7c8b-3fd4-4dea-b697-0f2931e84efa_ContentBits">
    <vt:lpwstr>0</vt:lpwstr>
  </property>
</Properties>
</file>